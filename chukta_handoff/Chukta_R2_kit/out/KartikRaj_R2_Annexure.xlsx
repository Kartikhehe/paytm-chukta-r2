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2 Validation Log" sheetId="2" state="visible" r:id="rId4"/>
    <sheet name="Distributor Log" sheetId="3" state="visible" r:id="rId5"/>
    <sheet name="R2 Validation Dashboard" sheetId="4" state="visible" r:id="rId6"/>
    <sheet name="Business Model" sheetId="5" state="visible" r:id="rId7"/>
    <sheet name="Sensitivity" sheetId="6" state="visible" r:id="rId8"/>
    <sheet name="Pilot Design" sheetId="7" state="visible" r:id="rId9"/>
    <sheet name="Journey · Build · Risks" sheetId="8" state="visible" r:id="rId10"/>
    <sheet name="R1 VOC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<sst xmlns="http://schemas.openxmlformats.org/spreadsheetml/2006/main" count="2121" uniqueCount="823">
  <si>
    <t xml:space="preserve">Paytm Innovation Challenge 2026 · Round 2 Annexure · Paytm Chukta</t>
  </si>
  <si>
    <t xml:space="preserve">Kartik Raj · IIT Kanpur · Individual entry · Track B: Grow Paytm usage among merchants as UPI payers</t>
  </si>
  <si>
    <t xml:space="preserve">What this is</t>
  </si>
  <si>
    <t xml:space="preserve">Supporting evidence for KartikRaj_R2.pdf. Round 1 evidence (50 VOCs) is copied in "R1 VOC" and remains in KartikRaj_VOC.xlsx.</t>
  </si>
  <si>
    <t xml:space="preserve">How Round 2 was run</t>
  </si>
  <si>
    <t xml:space="preserve">In-person interviews in Kanpur on 8 Oct 2026: 21 shop owners (screened: decides supplier payments, receives on Paytm, paid a supplier in the last 7 days) and 4 distributors. Concept shown on a board; all answers given verbally and recorded as voice notes, then logged here.</t>
  </si>
  <si>
    <t xml:space="preserve">What the evidence is</t>
  </si>
  <si>
    <t xml:space="preserve">Stated answers and stated commitments. No prototype walkthroughs or live payments were run in Round 2: usability and real payment behaviour are tested in week 1–2 of the 90-day pilot.</t>
  </si>
  <si>
    <t xml:space="preserve">Verbatims</t>
  </si>
  <si>
    <t xml:space="preserve">Column N is transcribed from voice notes. Where several owners made the same point, it is logged under one common wording.</t>
  </si>
  <si>
    <t xml:space="preserve">R2 Validation Log</t>
  </si>
  <si>
    <t xml:space="preserve">One row per shop owner. Ladder columns Q–T record what the owner SAID they would do, not observed behaviour.</t>
  </si>
  <si>
    <t xml:space="preserve">Distributor Log</t>
  </si>
  <si>
    <t xml:space="preserve">One row per distributor / wholesaler (software used, payment mix, ledger offer, pilot interest).</t>
  </si>
  <si>
    <t xml:space="preserve">R2 Validation Dashboard</t>
  </si>
  <si>
    <t xml:space="preserve">Every number is a formula on the two logs; these are the figures on slides 1, 6 and 7.</t>
  </si>
  <si>
    <t xml:space="preserve">Business Model</t>
  </si>
  <si>
    <t xml:space="preserve">Opportunity sizing, Year 1–3 GMV, segment share, revenue, cost, cost per active shop and per ₹1,000 GMV. Blue = input (each with source); black = formula.</t>
  </si>
  <si>
    <t xml:space="preserve">Sensitivity</t>
  </si>
  <si>
    <t xml:space="preserve">One-at-a-time tornado on the Year 3 drivers (slide 15).</t>
  </si>
  <si>
    <t xml:space="preserve">Pilot Design</t>
  </si>
  <si>
    <t xml:space="preserve">90-day cluster-randomised Kanpur pilot: cohort, targets, decision rules, power calculation (slide 12).</t>
  </si>
  <si>
    <t xml:space="preserve">Journey · Build · Risks</t>
  </si>
  <si>
    <t xml:space="preserve">Before/after journey, build effort and dependencies, risk register (slides 8, 10, 15).</t>
  </si>
  <si>
    <t xml:space="preserve">Sources</t>
  </si>
  <si>
    <t xml:space="preserve">Every external number with its link.</t>
  </si>
  <si>
    <t xml:space="preserve">Colour legend</t>
  </si>
  <si>
    <t xml:space="preserve">Yellow fill = field data · Blue text = hard-coded input / assumption · Black = formula · Green = link to another sheet.</t>
  </si>
  <si>
    <t xml:space="preserve">R2 Validation Log · one row per shop owner (screener + concept + stated ladder)</t>
  </si>
  <si>
    <t xml:space="preserve">Interviews 8 Oct 2026, Kanpur. Answers given verbally (voice notes). Anonymised: area + shop type only.</t>
  </si>
  <si>
    <t xml:space="preserve">Respondent ID</t>
  </si>
  <si>
    <t xml:space="preserve">Date</t>
  </si>
  <si>
    <t xml:space="preserve">Area</t>
  </si>
  <si>
    <t xml:space="preserve">Category</t>
  </si>
  <si>
    <t xml:space="preserve">Role</t>
  </si>
  <si>
    <t xml:space="preserve">Receives customer payments on</t>
  </si>
  <si>
    <t xml:space="preserve">R1 respondent re-contacted?</t>
  </si>
  <si>
    <t xml:space="preserve">Last supplier payment ₹</t>
  </si>
  <si>
    <t xml:space="preserve">App used for it</t>
  </si>
  <si>
    <t xml:space="preserve">Paid from which phone</t>
  </si>
  <si>
    <t xml:space="preserve">Minutes taken (last real payment)</t>
  </si>
  <si>
    <t xml:space="preserve">A1 Usefulness 1–5</t>
  </si>
  <si>
    <t xml:space="preserve">A2 Move next bill to Chukta?</t>
  </si>
  <si>
    <t xml:space="preserve">A3 Main objection (from voice note)</t>
  </si>
  <si>
    <t xml:space="preserve">Objection code</t>
  </si>
  <si>
    <t xml:space="preserve">Bills they receive (stated)</t>
  </si>
  <si>
    <t xml:space="preserve">L1 Would share a real bill to be read (said)</t>
  </si>
  <si>
    <t xml:space="preserve">L2 Would add suppliers + 9 pm reminder (said)</t>
  </si>
  <si>
    <t xml:space="preserve">L3 Would pay next supplier bill via Paytm (said)</t>
  </si>
  <si>
    <t xml:space="preserve">L4 Wants to join 90-day pilot (said)</t>
  </si>
  <si>
    <t xml:space="preserve">Wants Chukta on personal phone</t>
  </si>
  <si>
    <t xml:space="preserve">Notes</t>
  </si>
  <si>
    <t xml:space="preserve">R2-01</t>
  </si>
  <si>
    <t xml:space="preserve">Kakadeo</t>
  </si>
  <si>
    <t xml:space="preserve">Kirana / grocery</t>
  </si>
  <si>
    <t xml:space="preserve">Owner</t>
  </si>
  <si>
    <t xml:space="preserve">Paytm QR only</t>
  </si>
  <si>
    <t xml:space="preserve">Yes</t>
  </si>
  <si>
    <t xml:space="preserve">PhonePe</t>
  </si>
  <si>
    <t xml:space="preserve">Owner personal phone</t>
  </si>
  <si>
    <t xml:space="preserve">Idea acha hai 9 baje wala reminder badhiya hai.</t>
  </si>
  <si>
    <t xml:space="preserve">None</t>
  </si>
  <si>
    <t xml:space="preserve">Paper / photo / WhatsApp</t>
  </si>
  <si>
    <t xml:space="preserve">No</t>
  </si>
  <si>
    <t xml:space="preserve">R2-02</t>
  </si>
  <si>
    <t xml:space="preserve">Kalyanpur</t>
  </si>
  <si>
    <t xml:space="preserve">Paytm Soundbox</t>
  </si>
  <si>
    <t xml:space="preserve">Maybe</t>
  </si>
  <si>
    <t xml:space="preserve">R2-03</t>
  </si>
  <si>
    <t xml:space="preserve">Family member / partner</t>
  </si>
  <si>
    <t xml:space="preserve">Paisa agar fas gaya toh kon jimmedar hoga?</t>
  </si>
  <si>
    <t xml:space="preserve">Trust / fraud worry</t>
  </si>
  <si>
    <t xml:space="preserve">e-Invoice QR</t>
  </si>
  <si>
    <t xml:space="preserve">No bill due</t>
  </si>
  <si>
    <t xml:space="preserve">R2-04</t>
  </si>
  <si>
    <t xml:space="preserve">MT Section</t>
  </si>
  <si>
    <t xml:space="preserve">Paytm + other QR</t>
  </si>
  <si>
    <t xml:space="preserve">Salesman apna hi QR deta hai distributor bolega tabhi karunga.</t>
  </si>
  <si>
    <t xml:space="preserve">Distributor must agree</t>
  </si>
  <si>
    <t xml:space="preserve">R2-05</t>
  </si>
  <si>
    <t xml:space="preserve">Swaroop Nagar</t>
  </si>
  <si>
    <t xml:space="preserve">Pehle credit mile tab ye use karne ka faida.</t>
  </si>
  <si>
    <t xml:space="preserve">Wants credit first</t>
  </si>
  <si>
    <t xml:space="preserve">R2-06</t>
  </si>
  <si>
    <t xml:space="preserve">GPay ki aadat pad gayi hai fast hota hai.</t>
  </si>
  <si>
    <t xml:space="preserve">Prefer current app</t>
  </si>
  <si>
    <t xml:space="preserve">R2-07</t>
  </si>
  <si>
    <t xml:space="preserve">IITK Shopping Complex</t>
  </si>
  <si>
    <t xml:space="preserve">Already paid</t>
  </si>
  <si>
    <t xml:space="preserve">R2-08</t>
  </si>
  <si>
    <t xml:space="preserve">R2-09</t>
  </si>
  <si>
    <t xml:space="preserve">General / FMCG store</t>
  </si>
  <si>
    <t xml:space="preserve">R2-10</t>
  </si>
  <si>
    <t xml:space="preserve">Mera PhonePe theek chal raha hai naya aadat kyu daalun.</t>
  </si>
  <si>
    <t xml:space="preserve">R2-11</t>
  </si>
  <si>
    <t xml:space="preserve">Pharmacy / chemist</t>
  </si>
  <si>
    <t xml:space="preserve">Google Pay</t>
  </si>
  <si>
    <t xml:space="preserve">R2-12</t>
  </si>
  <si>
    <t xml:space="preserve">R2-13</t>
  </si>
  <si>
    <t xml:space="preserve">Bhaiya paper challan aata hai usme QR nahi hota.</t>
  </si>
  <si>
    <t xml:space="preserve">Bills are paper only</t>
  </si>
  <si>
    <t xml:space="preserve">R2-14</t>
  </si>
  <si>
    <t xml:space="preserve">R2-15</t>
  </si>
  <si>
    <t xml:space="preserve">Dairy / bakery / sweets</t>
  </si>
  <si>
    <t xml:space="preserve">R2-16</t>
  </si>
  <si>
    <t xml:space="preserve">Phone dusra hai payment ka aur Paytm shop ke number pe hai.</t>
  </si>
  <si>
    <t xml:space="preserve">Phone / account mismatch</t>
  </si>
  <si>
    <t xml:space="preserve">R2-17</t>
  </si>
  <si>
    <t xml:space="preserve">R2-18</t>
  </si>
  <si>
    <t xml:space="preserve">Bank app</t>
  </si>
  <si>
    <t xml:space="preserve">Naya system sikhna padega time nahi hai.</t>
  </si>
  <si>
    <t xml:space="preserve">Too many steps</t>
  </si>
  <si>
    <t xml:space="preserve">R2-19</t>
  </si>
  <si>
    <t xml:space="preserve">Hardware / paint / sanitary</t>
  </si>
  <si>
    <t xml:space="preserve">R2-20</t>
  </si>
  <si>
    <t xml:space="preserve">R2-21</t>
  </si>
  <si>
    <t xml:space="preserve">Nankari</t>
  </si>
  <si>
    <t xml:space="preserve">Cash</t>
  </si>
  <si>
    <t xml:space="preserve">Distributor Log · supply-side interviews (the actor whose salesman shows the QR)</t>
  </si>
  <si>
    <t xml:space="preserve">Interviews 8 Oct 2026, Kanpur. Owner or accounts head; answers given verbally.</t>
  </si>
  <si>
    <t xml:space="preserve">Distributor ID</t>
  </si>
  <si>
    <t xml:space="preserve">Market / area</t>
  </si>
  <si>
    <t xml:space="preserve">Retailers served</t>
  </si>
  <si>
    <t xml:space="preserve">Monthly sales ₹ (approx)</t>
  </si>
  <si>
    <t xml:space="preserve">Retailer credit days</t>
  </si>
  <si>
    <t xml:space="preserve">Billing software</t>
  </si>
  <si>
    <t xml:space="preserve">Issues e-invoices (IRN)?</t>
  </si>
  <si>
    <t xml:space="preserve">Share of collections: cash %</t>
  </si>
  <si>
    <t xml:space="preserve">Share: UPI QR %</t>
  </si>
  <si>
    <t xml:space="preserve">Share: bank transfer %</t>
  </si>
  <si>
    <t xml:space="preserve">Concern about 0.4% MDR?</t>
  </si>
  <si>
    <t xml:space="preserve">Offered to share 4-week payment ledger?</t>
  </si>
  <si>
    <t xml:space="preserve">Agreed to join pilot (verbal, non-binding)?</t>
  </si>
  <si>
    <t xml:space="preserve">Key quote (from voice note)</t>
  </si>
  <si>
    <t xml:space="preserve">D-01</t>
  </si>
  <si>
    <t xml:space="preserve">Nayaganj</t>
  </si>
  <si>
    <t xml:space="preserve">FMCG</t>
  </si>
  <si>
    <t xml:space="preserve">1.5 Cr</t>
  </si>
  <si>
    <t xml:space="preserve">Marg</t>
  </si>
  <si>
    <t xml:space="preserve">Not sure</t>
  </si>
  <si>
    <t xml:space="preserve">Yes (concerned)</t>
  </si>
  <si>
    <t xml:space="preserve">Agar collection apne aap track ho jaye bina salesman ke, toh badhiya hai.</t>
  </si>
  <si>
    <t xml:space="preserve">D-02</t>
  </si>
  <si>
    <t xml:space="preserve">Pharma</t>
  </si>
  <si>
    <t xml:space="preserve">2 Cr</t>
  </si>
  <si>
    <t xml:space="preserve">Tally</t>
  </si>
  <si>
    <t xml:space="preserve">No / not aware</t>
  </si>
  <si>
    <t xml:space="preserve">Maybe later</t>
  </si>
  <si>
    <t xml:space="preserve">Medical dukaandar bahut bill guma dete hain, app mein rahe toh payment jaldi aayega.</t>
  </si>
  <si>
    <t xml:space="preserve">D-03</t>
  </si>
  <si>
    <t xml:space="preserve">Generalganj</t>
  </si>
  <si>
    <t xml:space="preserve">Mixed</t>
  </si>
  <si>
    <t xml:space="preserve">80 L</t>
  </si>
  <si>
    <t xml:space="preserve">Busy</t>
  </si>
  <si>
    <t xml:space="preserve">Abhi mera system set hai, pehle 10 dukaandar se test karwao phir main sochunga.</t>
  </si>
  <si>
    <t xml:space="preserve">D-04</t>
  </si>
  <si>
    <t xml:space="preserve">Birhana Road</t>
  </si>
  <si>
    <t xml:space="preserve">Hardware</t>
  </si>
  <si>
    <t xml:space="preserve">50 L</t>
  </si>
  <si>
    <t xml:space="preserve">None / paper</t>
  </si>
  <si>
    <t xml:space="preserve">Hardware mein amount bada hota hai, log NEFT hi karte hain, QR nahi chalega.</t>
  </si>
  <si>
    <t xml:space="preserve">Only accepts NEFT for large orders</t>
  </si>
  <si>
    <t xml:space="preserve">R2 Validation Dashboard · all formulas on the two logs</t>
  </si>
  <si>
    <t xml:space="preserve">Stated answers, 8 Oct 2026. The "deck key" column matches validation.json used to build the PDF.</t>
  </si>
  <si>
    <t xml:space="preserve">Metric</t>
  </si>
  <si>
    <t xml:space="preserve">Value</t>
  </si>
  <si>
    <t xml:space="preserve">Base (n)</t>
  </si>
  <si>
    <t xml:space="preserve">deck key</t>
  </si>
  <si>
    <t xml:space="preserve">How it is computed</t>
  </si>
  <si>
    <t xml:space="preserve">% of base</t>
  </si>
  <si>
    <t xml:space="preserve">Shop owners interviewed</t>
  </si>
  <si>
    <t xml:space="preserve">merchants_tested</t>
  </si>
  <si>
    <t xml:space="preserve">Rows with a Respondent ID</t>
  </si>
  <si>
    <t xml:space="preserve">Distributors interviewed</t>
  </si>
  <si>
    <t xml:space="preserve">distributors_tested</t>
  </si>
  <si>
    <t xml:space="preserve">Distributor Log rows</t>
  </si>
  <si>
    <t xml:space="preserve">Concept test respondents (n)</t>
  </si>
  <si>
    <t xml:space="preserve">concept_n</t>
  </si>
  <si>
    <t xml:space="preserve">A1 answered</t>
  </si>
  <si>
    <t xml:space="preserve">Rated usefulness 4 or 5</t>
  </si>
  <si>
    <t xml:space="preserve">concept_top2</t>
  </si>
  <si>
    <t xml:space="preserve">A1</t>
  </si>
  <si>
    <t xml:space="preserve">Would move next bill to Chukta: Yes</t>
  </si>
  <si>
    <t xml:space="preserve">a2_yes</t>
  </si>
  <si>
    <t xml:space="preserve">A2 forced choice vs current app</t>
  </si>
  <si>
    <t xml:space="preserve">Would move next bill to Chukta: Maybe</t>
  </si>
  <si>
    <t xml:space="preserve">a2_maybe</t>
  </si>
  <si>
    <t xml:space="preserve">A2</t>
  </si>
  <si>
    <t xml:space="preserve">Ladder respondents (n)</t>
  </si>
  <si>
    <t xml:space="preserve">walk_n</t>
  </si>
  <si>
    <t xml:space="preserve">Answered the ladder questions</t>
  </si>
  <si>
    <t xml:space="preserve">Median minutes for their last real supplier payment</t>
  </si>
  <si>
    <t xml:space="preserve">today_min</t>
  </si>
  <si>
    <t xml:space="preserve">Screener S3</t>
  </si>
  <si>
    <t xml:space="preserve">L1 Said they would share a real bill</t>
  </si>
  <si>
    <t xml:space="preserve">l1_bill</t>
  </si>
  <si>
    <t xml:space="preserve">Stated</t>
  </si>
  <si>
    <t xml:space="preserve">L2 Said they would add suppliers + reminder</t>
  </si>
  <si>
    <t xml:space="preserve">l2_reminder</t>
  </si>
  <si>
    <t xml:space="preserve">L3 Said they would pay next supplier bill via Paytm</t>
  </si>
  <si>
    <t xml:space="preserve">l3_paid</t>
  </si>
  <si>
    <t xml:space="preserve">Stated, not observed</t>
  </si>
  <si>
    <t xml:space="preserve">L4 Want to join the 90-day pilot</t>
  </si>
  <si>
    <t xml:space="preserve">l4_pilot</t>
  </si>
  <si>
    <t xml:space="preserve">Want Chukta on personal phone</t>
  </si>
  <si>
    <t xml:space="preserve">personal_phone</t>
  </si>
  <si>
    <t xml:space="preserve">Shops that receive supplier bills (stated)</t>
  </si>
  <si>
    <t xml:space="preserve">bills_seen</t>
  </si>
  <si>
    <t xml:space="preserve">…whose bills carry an e-invoice QR (stated)</t>
  </si>
  <si>
    <t xml:space="preserve">einv_bills</t>
  </si>
  <si>
    <t xml:space="preserve">Distributors who agreed to join the pilot</t>
  </si>
  <si>
    <t xml:space="preserve">d_loi</t>
  </si>
  <si>
    <t xml:space="preserve">Verbal, non-binding</t>
  </si>
  <si>
    <t xml:space="preserve">Distributors who offered a 4-week ledger</t>
  </si>
  <si>
    <t xml:space="preserve">d_ledger</t>
  </si>
  <si>
    <t xml:space="preserve">Distributors on Tally / Marg / Busy</t>
  </si>
  <si>
    <t xml:space="preserve">d_erp</t>
  </si>
  <si>
    <t xml:space="preserve">Quota check (slide 6)</t>
  </si>
  <si>
    <t xml:space="preserve">Interviewed</t>
  </si>
  <si>
    <t xml:space="preserve">Quota</t>
  </si>
  <si>
    <t xml:space="preserve">L3 said yes (slide 7)</t>
  </si>
  <si>
    <t xml:space="preserve">Kirana / general FMCG</t>
  </si>
  <si>
    <t xml:space="preserve">q_kirana</t>
  </si>
  <si>
    <t xml:space="preserve">l3_kirana</t>
  </si>
  <si>
    <t xml:space="preserve">Chemist / pharmacy</t>
  </si>
  <si>
    <t xml:space="preserve">q_pharma</t>
  </si>
  <si>
    <t xml:space="preserve">l3_pharma</t>
  </si>
  <si>
    <t xml:space="preserve">Canteen / dairy / bakery</t>
  </si>
  <si>
    <t xml:space="preserve">q_canteen</t>
  </si>
  <si>
    <t xml:space="preserve">l3_canteen</t>
  </si>
  <si>
    <t xml:space="preserve">Hardware / electronics / other</t>
  </si>
  <si>
    <t xml:space="preserve">q_other</t>
  </si>
  <si>
    <t xml:space="preserve">l3_other</t>
  </si>
  <si>
    <t xml:space="preserve">Pass bars (slide 7)</t>
  </si>
  <si>
    <t xml:space="preserve">Result</t>
  </si>
  <si>
    <t xml:space="preserve">Bar</t>
  </si>
  <si>
    <t xml:space="preserve">Verdict</t>
  </si>
  <si>
    <t xml:space="preserve">H1 Desirability (stated): share saying they would pay next bill via Paytm</t>
  </si>
  <si>
    <t xml:space="preserve">H2 Channel: distributors agreeing to join the pilot (count)</t>
  </si>
  <si>
    <t xml:space="preserve">H3 Feasibility: bills captured without typing</t>
  </si>
  <si>
    <t xml:space="preserve">Not run in R2</t>
  </si>
  <si>
    <t xml:space="preserve">70%</t>
  </si>
  <si>
    <t xml:space="preserve">Pilot week 1–2</t>
  </si>
  <si>
    <t xml:space="preserve">Usability: tasks completed unaided on the prototype</t>
  </si>
  <si>
    <t xml:space="preserve">Objection codes (for "We heard → our response")</t>
  </si>
  <si>
    <t xml:space="preserve">Count</t>
  </si>
  <si>
    <t xml:space="preserve">Data privacy</t>
  </si>
  <si>
    <t xml:space="preserve">Other</t>
  </si>
  <si>
    <t xml:space="preserve">Business Model · Paytm Chukta (national roll-out)</t>
  </si>
  <si>
    <t xml:space="preserve">Blue = input with source. Black = formula. ₹ Cr unless stated. Same inputs generate the deck (slides 13–15, A1).</t>
  </si>
  <si>
    <t xml:space="preserve">A. Inputs (single value)</t>
  </si>
  <si>
    <t xml:space="preserve">Source / reasoning</t>
  </si>
  <si>
    <t xml:space="preserve">Paytm device merchants</t>
  </si>
  <si>
    <t xml:space="preserve">Paytm Q1 FY27 results, Jul 2026 (1.57 crore device merchants)</t>
  </si>
  <si>
    <t xml:space="preserve">Share buying stock from suppliers</t>
  </si>
  <si>
    <t xml:space="preserve">Assumption: retail-heavy Soundbox base; excludes services</t>
  </si>
  <si>
    <t xml:space="preserve">…of which pay suppliers over UPI monthly</t>
  </si>
  <si>
    <t xml:space="preserve">Conservative; Kanpur R1 VOC: 48 of 50</t>
  </si>
  <si>
    <t xml:space="preserve">Supplier UPI per shop per month (₹)</t>
  </si>
  <si>
    <t xml:space="preserve">₹3 L sales × ~80% stock × ~25% UPI; Kanpur R1 average ₹1.09 L</t>
  </si>
  <si>
    <t xml:space="preserve">Paytm share of this UPI today</t>
  </si>
  <si>
    <t xml:space="preserve">Paytm national app share 8.1% (Aug 2026); Kanpur R1 sample 0%</t>
  </si>
  <si>
    <t xml:space="preserve">Supplier payments per shop per month (all apps)</t>
  </si>
  <si>
    <t xml:space="preserve">R1 VOC use-case frequencies</t>
  </si>
  <si>
    <t xml:space="preserve">MDR-eligible share of Chukta GMV (P2M &gt; ₹2,000)</t>
  </si>
  <si>
    <t xml:space="preserve">Rest: bank-a/c rail, P2PM-exempt small suppliers, tickets ≤ ₹2,000</t>
  </si>
  <si>
    <t xml:space="preserve">Payer-app (TPAP) share of MDR</t>
  </si>
  <si>
    <t xml:space="preserve">NPCI 15 Sep 2026: 0.4% MDR, 20% to UPI app</t>
  </si>
  <si>
    <t xml:space="preserve">Share of supplier QRs acquired by Paytm</t>
  </si>
  <si>
    <t xml:space="preserve">Assumption: Chukta Collect onboards distributors to Paytm QR</t>
  </si>
  <si>
    <t xml:space="preserve">Acquirer share of MDR</t>
  </si>
  <si>
    <t xml:space="preserve">NPCI 15 Sep 2026: 30% of 0.4% to acquirer</t>
  </si>
  <si>
    <t xml:space="preserve">Credit drawn per credit user per month (₹)</t>
  </si>
  <si>
    <t xml:space="preserve">Assumption: ~1/3 of monthly supplier UPI</t>
  </si>
  <si>
    <t xml:space="preserve">Paytm distribution take on credit</t>
  </si>
  <si>
    <t xml:space="preserve">Assumption; depends on lender contracts</t>
  </si>
  <si>
    <t xml:space="preserve">Build cost, one-time (₹ Cr, Year 1)</t>
  </si>
  <si>
    <t xml:space="preserve">Assumption: 1 squad × 12 weeks + partner integrations</t>
  </si>
  <si>
    <t xml:space="preserve">Run cost: team + infra (₹ Cr / yr)</t>
  </si>
  <si>
    <t xml:space="preserve">Assumption</t>
  </si>
  <si>
    <t xml:space="preserve">CAC per new active shop (₹)</t>
  </si>
  <si>
    <t xml:space="preserve">Build-up: 71 onboarding + 71 salesman fee + 43 training + 5 comms + 30 ops/fraud</t>
  </si>
  <si>
    <t xml:space="preserve">AI read cost per photo / PDF bill (₹)</t>
  </si>
  <si>
    <t xml:space="preserve">Assumption: vision model / OCR per page</t>
  </si>
  <si>
    <t xml:space="preserve">Share of bills needing AI read</t>
  </si>
  <si>
    <t xml:space="preserve">Rest arrive via e-invoice QR, ERP push or CSV</t>
  </si>
  <si>
    <t xml:space="preserve">Support cost per active shop per year (₹)</t>
  </si>
  <si>
    <t xml:space="preserve">National UPI value per month (₹ Cr)</t>
  </si>
  <si>
    <t xml:space="preserve">NPCI, Aug 2026: ₹29.9 lakh crore</t>
  </si>
  <si>
    <t xml:space="preserve">B. Inputs by year</t>
  </si>
  <si>
    <t xml:space="preserve">Year 1</t>
  </si>
  <si>
    <t xml:space="preserve">Year 2</t>
  </si>
  <si>
    <t xml:space="preserve">Year 3</t>
  </si>
  <si>
    <t xml:space="preserve">Adoption: % of target shops active</t>
  </si>
  <si>
    <t xml:space="preserve">Cut from R1 (15/30/45%) after stress test; pilot activation bar 40% of reachable</t>
  </si>
  <si>
    <t xml:space="preserve">Paytm share of an adopter's supplier UPI</t>
  </si>
  <si>
    <t xml:space="preserve">Remainder: cash-only and non-Chukta suppliers</t>
  </si>
  <si>
    <t xml:space="preserve">Credit users among adopters</t>
  </si>
  <si>
    <t xml:space="preserve">Credit launches after payment habit; lender-approved only</t>
  </si>
  <si>
    <t xml:space="preserve">C. Segment</t>
  </si>
  <si>
    <t xml:space="preserve">Formula</t>
  </si>
  <si>
    <t xml:space="preserve">Target shops (device × stock × UPI)</t>
  </si>
  <si>
    <t xml:space="preserve">Slide 13 funnel</t>
  </si>
  <si>
    <t xml:space="preserve">Pool: supplier UPI per month (₹ Cr)</t>
  </si>
  <si>
    <t xml:space="preserve">Pool per year (₹ Cr)</t>
  </si>
  <si>
    <t xml:space="preserve">Paytm GMV from pool today (₹ Cr / month)</t>
  </si>
  <si>
    <t xml:space="preserve">D. Year-by-year</t>
  </si>
  <si>
    <t xml:space="preserve">3-yr total</t>
  </si>
  <si>
    <t xml:space="preserve">Formula note</t>
  </si>
  <si>
    <t xml:space="preserve">Active Chukta shops</t>
  </si>
  <si>
    <t xml:space="preserve">Target × adoption</t>
  </si>
  <si>
    <t xml:space="preserve">Share-of-wallet uplift (pp)</t>
  </si>
  <si>
    <t xml:space="preserve">Adopter share − today</t>
  </si>
  <si>
    <t xml:space="preserve">Incremental GMV per month (₹ Cr)</t>
  </si>
  <si>
    <t xml:space="preserve">Incremental GMV per year (₹ Cr)</t>
  </si>
  <si>
    <t xml:space="preserve">Main volume number</t>
  </si>
  <si>
    <t xml:space="preserve">Incremental UPI transactions per month</t>
  </si>
  <si>
    <t xml:space="preserve">Paytm share of segment supplier UPI</t>
  </si>
  <si>
    <t xml:space="preserve">MAIN METRIC (slide 13)</t>
  </si>
  <si>
    <t xml:space="preserve">Added to Paytm share of all UPI value (pp)</t>
  </si>
  <si>
    <t xml:space="preserve">Revenue: payer-app MDR</t>
  </si>
  <si>
    <t xml:space="preserve">Revenue: acquirer MDR</t>
  </si>
  <si>
    <t xml:space="preserve">Credit users</t>
  </si>
  <si>
    <t xml:space="preserve">Credit disbursed (₹ Cr / yr)</t>
  </si>
  <si>
    <t xml:space="preserve">Revenue: credit distribution</t>
  </si>
  <si>
    <t xml:space="preserve">Total revenue</t>
  </si>
  <si>
    <t xml:space="preserve">New active shops in year</t>
  </si>
  <si>
    <t xml:space="preserve">Cost: build + run</t>
  </si>
  <si>
    <t xml:space="preserve">Cost: acquisition</t>
  </si>
  <si>
    <t xml:space="preserve">Cost: AI bill reading</t>
  </si>
  <si>
    <t xml:space="preserve">Cost: support</t>
  </si>
  <si>
    <t xml:space="preserve">Total cost</t>
  </si>
  <si>
    <t xml:space="preserve">Contribution</t>
  </si>
  <si>
    <t xml:space="preserve">Cost per extra active shop (₹)</t>
  </si>
  <si>
    <t xml:space="preserve">Brief metric</t>
  </si>
  <si>
    <t xml:space="preserve">Cost per ₹1,000 of extra GMV (₹)</t>
  </si>
  <si>
    <t xml:space="preserve">E. Per-shop economics (Year 3 share)</t>
  </si>
  <si>
    <t xml:space="preserve">Note</t>
  </si>
  <si>
    <t xml:space="preserve">New Paytm GMV per active shop per year (₹)</t>
  </si>
  <si>
    <t xml:space="preserve">Revenue per shop: payer-app MDR (₹)</t>
  </si>
  <si>
    <t xml:space="preserve">Revenue per shop: acquirer MDR (₹)</t>
  </si>
  <si>
    <t xml:space="preserve">Revenue per shop: credit (₹)</t>
  </si>
  <si>
    <t xml:space="preserve">CAC payback, payments only (months)</t>
  </si>
  <si>
    <t xml:space="preserve">CAC payback incl. credit (months)</t>
  </si>
  <si>
    <t xml:space="preserve">3-yr LTV / CAC, payments only</t>
  </si>
  <si>
    <t xml:space="preserve">70% annual retention, undiscounted</t>
  </si>
  <si>
    <t xml:space="preserve">3-yr LTV / CAC incl. credit</t>
  </si>
  <si>
    <t xml:space="preserve">Comparison: 0.1% cashback on Year 3 GMV (₹ Cr / yr)</t>
  </si>
  <si>
    <t xml:space="preserve">Recurring every year, vs total Year 3 cost in D55</t>
  </si>
  <si>
    <t xml:space="preserve">Sensitivity · Year 3, one assumption at a time (slide 15)</t>
  </si>
  <si>
    <t xml:space="preserve">Low / high values are blue inputs. Other inputs are linked (green) to Business Model.</t>
  </si>
  <si>
    <t xml:space="preserve">Base Year 3 incremental GMV (₹ Cr / yr)</t>
  </si>
  <si>
    <t xml:space="preserve">Base Year 3 revenue (₹ Cr / yr)</t>
  </si>
  <si>
    <t xml:space="preserve">Driver</t>
  </si>
  <si>
    <t xml:space="preserve">Low</t>
  </si>
  <si>
    <t xml:space="preserve">High</t>
  </si>
  <si>
    <t xml:space="preserve">GMV at low</t>
  </si>
  <si>
    <t xml:space="preserve">GMV at high</t>
  </si>
  <si>
    <t xml:space="preserve">Revenue at low</t>
  </si>
  <si>
    <t xml:space="preserve">Revenue at high</t>
  </si>
  <si>
    <t xml:space="preserve">Year 3 adoption of target shops</t>
  </si>
  <si>
    <t xml:space="preserve">MDR-eligible share of Chukta GMV</t>
  </si>
  <si>
    <t xml:space="preserve">Credit users among adopters (Year 3)</t>
  </si>
  <si>
    <t xml:space="preserve">Reading: adoption swings GMV most; credit uptake swings revenue most. GMV stays above ₹37,000 Cr in every tested case.</t>
  </si>
  <si>
    <t xml:space="preserve">Pilot Design · 90-day cluster-randomised Kanpur pilot (slide 12)</t>
  </si>
  <si>
    <t xml:space="preserve">Element</t>
  </si>
  <si>
    <t xml:space="preserve">Detail</t>
  </si>
  <si>
    <t xml:space="preserve">Clusters (distributors)</t>
  </si>
  <si>
    <t xml:space="preserve">20</t>
  </si>
  <si>
    <t xml:space="preserve">FMCG + pharma, matched in pairs by size and category; one of each pair randomised to treatment</t>
  </si>
  <si>
    <t xml:space="preserve">Treatment / control</t>
  </si>
  <si>
    <t xml:space="preserve">10 / 10</t>
  </si>
  <si>
    <t xml:space="preserve">~2,500 retailers per arm; ~1,500 Paytm device merchants per arm form the analysis cohort</t>
  </si>
  <si>
    <t xml:space="preserve">Baseline</t>
  </si>
  <si>
    <t xml:space="preserve">4 weeks</t>
  </si>
  <si>
    <t xml:space="preserve">Distributor ledgers (invoice, amount, payment mode, app) + Paytm data; Account Aggregator consent on a 200-shop subsample</t>
  </si>
  <si>
    <t xml:space="preserve">Primary metric</t>
  </si>
  <si>
    <t xml:space="preserve">DiD</t>
  </si>
  <si>
    <t xml:space="preserve">Paytm share of supplier ₹ (treated − control, post − pre), standard errors clustered by distributor</t>
  </si>
  <si>
    <t xml:space="preserve">Credit</t>
  </si>
  <si>
    <t xml:space="preserve">Week 7+</t>
  </si>
  <si>
    <t xml:space="preserve">Lender-approved sub-cohort only, analysed separately</t>
  </si>
  <si>
    <t xml:space="preserve">Incentive holdout</t>
  </si>
  <si>
    <t xml:space="preserve">Day 60</t>
  </si>
  <si>
    <t xml:space="preserve">Distributor early-pay discount switched off for a random half of treated distributors</t>
  </si>
  <si>
    <t xml:space="preserve">Budget</t>
  </si>
  <si>
    <t xml:space="preserve">₹10 L</t>
  </si>
  <si>
    <t xml:space="preserve">Field team 6 × 3 months ₹7.2 L · activation fees ₹0.5 L · onboarding ₹0.5 L · infra ₹0.3 L · comms ₹0.5 L · contingency ₹1 L</t>
  </si>
  <si>
    <t xml:space="preserve">Power calculation</t>
  </si>
  <si>
    <t xml:space="preserve">Formula / note</t>
  </si>
  <si>
    <t xml:space="preserve">Analysable shops per arm</t>
  </si>
  <si>
    <t xml:space="preserve">Input</t>
  </si>
  <si>
    <t xml:space="preserve">Clusters per arm</t>
  </si>
  <si>
    <t xml:space="preserve">Intra-cluster correlation (ICC)</t>
  </si>
  <si>
    <t xml:space="preserve">Assumed</t>
  </si>
  <si>
    <t xml:space="preserve">SD of shop-level Paytm share</t>
  </si>
  <si>
    <t xml:space="preserve">Assumed (share is 0–1, bimodal)</t>
  </si>
  <si>
    <t xml:space="preserve">Shops per cluster</t>
  </si>
  <si>
    <t xml:space="preserve">Design effect</t>
  </si>
  <si>
    <t xml:space="preserve">1 + (m − 1) × ICC</t>
  </si>
  <si>
    <t xml:space="preserve">Effective shops per arm</t>
  </si>
  <si>
    <t xml:space="preserve">Minimum detectable effect (80% power, α = 0.05)</t>
  </si>
  <si>
    <t xml:space="preserve">Target effect is +25 pp</t>
  </si>
  <si>
    <t xml:space="preserve">Day-90 target (treated Paytm device shops)</t>
  </si>
  <si>
    <t xml:space="preserve">Target</t>
  </si>
  <si>
    <t xml:space="preserve">Decision use</t>
  </si>
  <si>
    <t xml:space="preserve">Paytm share of supplier ₹: DiD vs control</t>
  </si>
  <si>
    <t xml:space="preserve">≥ +25 pp</t>
  </si>
  <si>
    <t xml:space="preserve">Primary scale criterion</t>
  </si>
  <si>
    <t xml:space="preserve">Paytm share of supplier ₹ in treated shops</t>
  </si>
  <si>
    <t xml:space="preserve">≥ 35%</t>
  </si>
  <si>
    <t xml:space="preserve">Activation: ≥ 1 bill paid in 14 days</t>
  </si>
  <si>
    <t xml:space="preserve">≥ 40%</t>
  </si>
  <si>
    <t xml:space="preserve">STOP if &lt; 15%</t>
  </si>
  <si>
    <t xml:space="preserve">Repeat: ≥ 3 bills in month 3 (of activated)</t>
  </si>
  <si>
    <t xml:space="preserve">≥ 60%</t>
  </si>
  <si>
    <t xml:space="preserve">Scale criterion</t>
  </si>
  <si>
    <t xml:space="preserve">Invoices visible in Chukta</t>
  </si>
  <si>
    <t xml:space="preserve">≥ 70%</t>
  </si>
  <si>
    <t xml:space="preserve">Retention after discount switched off at day 60</t>
  </si>
  <si>
    <t xml:space="preserve">≥ 85%</t>
  </si>
  <si>
    <t xml:space="preserve">Incentive-independence test</t>
  </si>
  <si>
    <t xml:space="preserve">Distributor days-to-collect</t>
  </si>
  <si>
    <t xml:space="preserve">−3 days</t>
  </si>
  <si>
    <t xml:space="preserve">Guardrails</t>
  </si>
  <si>
    <t xml:space="preserve">Failures &lt; 1% · complaints &lt; 2% · churn ≤ control</t>
  </si>
  <si>
    <t xml:space="preserve">Must hold to scale</t>
  </si>
  <si>
    <t xml:space="preserve">Decision rule</t>
  </si>
  <si>
    <t xml:space="preserve">Condition</t>
  </si>
  <si>
    <t xml:space="preserve">Next step</t>
  </si>
  <si>
    <t xml:space="preserve">SCALE</t>
  </si>
  <si>
    <t xml:space="preserve">DiD ≥ +25 pp and repeat ≥ 60% and guardrails met</t>
  </si>
  <si>
    <t xml:space="preserve">10 high-Soundbox cities, 500 distributors, credit live</t>
  </si>
  <si>
    <t xml:space="preserve">ITERATE</t>
  </si>
  <si>
    <t xml:space="preserve">DiD +10 to +25 pp</t>
  </si>
  <si>
    <t xml:space="preserve">Fix weakest funnel step; extend 60 days</t>
  </si>
  <si>
    <t xml:space="preserve">STOP</t>
  </si>
  <si>
    <t xml:space="preserve">DiD &lt; +10 pp or activation &lt; 15%</t>
  </si>
  <si>
    <t xml:space="preserve">Keep only the Soundbox reminder</t>
  </si>
  <si>
    <t xml:space="preserve">Before / after journey, build plan and risk register (slides 8, 10, 15)</t>
  </si>
  <si>
    <t xml:space="preserve">BEFORE step</t>
  </si>
  <si>
    <t xml:space="preserve">What happens</t>
  </si>
  <si>
    <t xml:space="preserve">Pain</t>
  </si>
  <si>
    <t xml:space="preserve">1 Bill arrives</t>
  </si>
  <si>
    <t xml:space="preserve">Paper challan or WhatsApp PDF</t>
  </si>
  <si>
    <t xml:space="preserve">No due date tracked</t>
  </si>
  <si>
    <t xml:space="preserve">2 Filed</t>
  </si>
  <si>
    <t xml:space="preserve">Drawer or chat</t>
  </si>
  <si>
    <t xml:space="preserve">Lost / forgotten</t>
  </si>
  <si>
    <t xml:space="preserve">3 Collection</t>
  </si>
  <si>
    <t xml:space="preserve">Salesman visits or calls</t>
  </si>
  <si>
    <t xml:space="preserve">Owner on the spot</t>
  </si>
  <si>
    <t xml:space="preserve">4 App</t>
  </si>
  <si>
    <t xml:space="preserve">PhonePe / GPay on personal phone</t>
  </si>
  <si>
    <t xml:space="preserve">Paytm never in hand</t>
  </si>
  <si>
    <t xml:space="preserve">5 QR</t>
  </si>
  <si>
    <t xml:space="preserve">Scans whichever QR the salesman shows</t>
  </si>
  <si>
    <t xml:space="preserve">Salesman picks app</t>
  </si>
  <si>
    <t xml:space="preserve">6 Amount</t>
  </si>
  <si>
    <t xml:space="preserve">Typed from challan or memory</t>
  </si>
  <si>
    <t xml:space="preserve">Typos, part-payments</t>
  </si>
  <si>
    <t xml:space="preserve">7 Proof</t>
  </si>
  <si>
    <t xml:space="preserve">Screenshot on WhatsApp</t>
  </si>
  <si>
    <t xml:space="preserve">No invoice link</t>
  </si>
  <si>
    <t xml:space="preserve">8 Matching</t>
  </si>
  <si>
    <t xml:space="preserve">Accountant matches by hand</t>
  </si>
  <si>
    <t xml:space="preserve">Disputes</t>
  </si>
  <si>
    <t xml:space="preserve">9 Cash short</t>
  </si>
  <si>
    <t xml:space="preserve">Udhaar or delay</t>
  </si>
  <si>
    <t xml:space="preserve">Strains credit terms</t>
  </si>
  <si>
    <t xml:space="preserve">AFTER step</t>
  </si>
  <si>
    <t xml:space="preserve">Paytm asset</t>
  </si>
  <si>
    <t xml:space="preserve">1 Bill lands</t>
  </si>
  <si>
    <t xml:space="preserve">Distributor push / e-invoice QR / photo</t>
  </si>
  <si>
    <t xml:space="preserve">AI read, IRP QR verify</t>
  </si>
  <si>
    <t xml:space="preserve">2 Reminder</t>
  </si>
  <si>
    <t xml:space="preserve">Soundbox 9 pm: tomorrow's dues</t>
  </si>
  <si>
    <t xml:space="preserve">Soundbox summary voice</t>
  </si>
  <si>
    <t xml:space="preserve">3 Pay</t>
  </si>
  <si>
    <t xml:space="preserve">Payee verified; invoice-tagged UPI; or 7 din baad</t>
  </si>
  <si>
    <t xml:space="preserve">Paytm UPI, credit line on UPI</t>
  </si>
  <si>
    <t xml:space="preserve">4 Close</t>
  </si>
  <si>
    <t xml:space="preserve">Distributor auto-reconciled; purchase register</t>
  </si>
  <si>
    <t xml:space="preserve">Chukta Collect</t>
  </si>
  <si>
    <t xml:space="preserve">Component</t>
  </si>
  <si>
    <t xml:space="preserve">New / reuse</t>
  </si>
  <si>
    <t xml:space="preserve">Effort (S/M/L)</t>
  </si>
  <si>
    <t xml:space="preserve">In MVP?</t>
  </si>
  <si>
    <t xml:space="preserve">Bill inbox + ledger + due-date engine</t>
  </si>
  <si>
    <t xml:space="preserve">New</t>
  </si>
  <si>
    <t xml:space="preserve">M</t>
  </si>
  <si>
    <t xml:space="preserve">Both apps, synced by merchant ID</t>
  </si>
  <si>
    <t xml:space="preserve">e-invoice QR read + IRP signature check</t>
  </si>
  <si>
    <t xml:space="preserve">S</t>
  </si>
  <si>
    <t xml:space="preserve">Public schema and key</t>
  </si>
  <si>
    <t xml:space="preserve">Photo / PDF bill read</t>
  </si>
  <si>
    <t xml:space="preserve">New (Paytm AI)</t>
  </si>
  <si>
    <t xml:space="preserve">Owner confirms</t>
  </si>
  <si>
    <t xml:space="preserve">Payee verification GSTIN ↔ VPA / a/c</t>
  </si>
  <si>
    <t xml:space="preserve">Flags mismatches</t>
  </si>
  <si>
    <t xml:space="preserve">Soundbox "due tomorrow" line</t>
  </si>
  <si>
    <t xml:space="preserve">Reuse</t>
  </si>
  <si>
    <t xml:space="preserve">Script extension</t>
  </si>
  <si>
    <t xml:space="preserve">Invoice-tagged UPI pay</t>
  </si>
  <si>
    <t xml:space="preserve">Rail picked by supplier</t>
  </si>
  <si>
    <t xml:space="preserve">Chukta Collect web view</t>
  </si>
  <si>
    <t xml:space="preserve">Read-only first</t>
  </si>
  <si>
    <t xml:space="preserve">Distributor push (API, Bharat Connect, Tally/Marg/Busy)</t>
  </si>
  <si>
    <t xml:space="preserve">New + partners</t>
  </si>
  <si>
    <t xml:space="preserve">L</t>
  </si>
  <si>
    <t xml:space="preserve">CSV in pilot</t>
  </si>
  <si>
    <t xml:space="preserve">Business credit line on UPI</t>
  </si>
  <si>
    <t xml:space="preserve">Partner</t>
  </si>
  <si>
    <t xml:space="preserve">Week 7 sub-cohort</t>
  </si>
  <si>
    <t xml:space="preserve">P2M payees only</t>
  </si>
  <si>
    <t xml:space="preserve">GST purchase register export</t>
  </si>
  <si>
    <t xml:space="preserve">Phase 2</t>
  </si>
  <si>
    <t xml:space="preserve">Risk</t>
  </si>
  <si>
    <t xml:space="preserve">Mitigation</t>
  </si>
  <si>
    <t xml:space="preserve">Early signal</t>
  </si>
  <si>
    <t xml:space="preserve">L / I</t>
  </si>
  <si>
    <t xml:space="preserve">PhonePe / GPay copy the bill inbox</t>
  </si>
  <si>
    <t xml:space="preserve">Distributor lock-in first; ERP buttons; two-sided credit data</t>
  </si>
  <si>
    <t xml:space="preserve">Competitor launch; distributor churn</t>
  </si>
  <si>
    <t xml:space="preserve">H / M</t>
  </si>
  <si>
    <t xml:space="preserve">Competitor cashback war</t>
  </si>
  <si>
    <t xml:space="preserve">Don't match; workflow + records + credit</t>
  </si>
  <si>
    <t xml:space="preserve">Treated share falls &gt; 5 pp</t>
  </si>
  <si>
    <t xml:space="preserve">M / M</t>
  </si>
  <si>
    <t xml:space="preserve">Distributors avoid MDR</t>
  </si>
  <si>
    <t xml:space="preserve">Rail-neutral: bank-a/c rail is MDR-free</t>
  </si>
  <si>
    <t xml:space="preserve">Rail mix in ledgers</t>
  </si>
  <si>
    <t xml:space="preserve">H / L</t>
  </si>
  <si>
    <t xml:space="preserve">Fake bill / QR-swap fraud</t>
  </si>
  <si>
    <t xml:space="preserve">GSTIN name match; e-invoice signature; 24 h cooling-off; push-only</t>
  </si>
  <si>
    <t xml:space="preserve">Name-mismatch rate</t>
  </si>
  <si>
    <t xml:space="preserve">M / H</t>
  </si>
  <si>
    <t xml:space="preserve">Credit losses</t>
  </si>
  <si>
    <t xml:space="preserve">Lender underwrites (RBI DLD 2025); small limits</t>
  </si>
  <si>
    <t xml:space="preserve">First-payment default</t>
  </si>
  <si>
    <t xml:space="preserve">Habit doesn't form</t>
  </si>
  <si>
    <t xml:space="preserve">Nightly Soundbox ritual; STOP rule</t>
  </si>
  <si>
    <t xml:space="preserve">Repeat &lt; 40% at D60</t>
  </si>
  <si>
    <t xml:space="preserve">Rule change (MDR rollback)</t>
  </si>
  <si>
    <t xml:space="preserve">MDR is a minority of revenue, 0% of GMV case</t>
  </si>
  <si>
    <t xml:space="preserve">NPCI circulars</t>
  </si>
  <si>
    <t xml:space="preserve">M / L</t>
  </si>
  <si>
    <t xml:space="preserve">Data privacy (DPDP)</t>
  </si>
  <si>
    <t xml:space="preserve">Consent per use; delete photos after reading</t>
  </si>
  <si>
    <t xml:space="preserve">Opt-out rate</t>
  </si>
  <si>
    <t xml:space="preserve">L / M</t>
  </si>
  <si>
    <t xml:space="preserve">Round 1 VOC Collection (50 respondents) · values copied from KartikRaj_VOC.xlsx</t>
  </si>
  <si>
    <t xml:space="preserve">VOC ID</t>
  </si>
  <si>
    <t xml:space="preserve">Respondent type</t>
  </si>
  <si>
    <t xml:space="preserve">City / area</t>
  </si>
  <si>
    <t xml:space="preserve">Profile / category</t>
  </si>
  <si>
    <t xml:space="preserve">UPI apps used 
(you can mention multiple apps if used for different purposes/occasions)</t>
  </si>
  <si>
    <t xml:space="preserve">Primary UPI app used</t>
  </si>
  <si>
    <t xml:space="preserve">Why was it chosen? (exact words)</t>
  </si>
  <si>
    <t xml:space="preserve">When or why is Paytm used? Or not used if switched from Paytm?</t>
  </si>
  <si>
    <t xml:space="preserve">Need, barrier or motivation to switch (derived from the conversation, not a direct question - maybe a feature, campaign, perception etc.)</t>
  </si>
  <si>
    <t xml:space="preserve">Opportunity / idea</t>
  </si>
  <si>
    <t xml:space="preserve">Key quote</t>
  </si>
  <si>
    <t xml:space="preserve">Interview type</t>
  </si>
  <si>
    <t xml:space="preserve">Who decides supplier payments?</t>
  </si>
  <si>
    <t xml:space="preserve">Customers pay this shop mostly via</t>
  </si>
  <si>
    <t xml:space="preserve">Supplier payments made from</t>
  </si>
  <si>
    <t xml:space="preserve">Est. monthly stock purchase (₹)</t>
  </si>
  <si>
    <t xml:space="preserve">Use case 1</t>
  </si>
  <si>
    <t xml:space="preserve">UC1 payments / month</t>
  </si>
  <si>
    <t xml:space="preserve">UC1 typical amount (₹)</t>
  </si>
  <si>
    <t xml:space="preserve">UC1 paid with</t>
  </si>
  <si>
    <t xml:space="preserve">Use case 2</t>
  </si>
  <si>
    <t xml:space="preserve">UC2 payments / month</t>
  </si>
  <si>
    <t xml:space="preserve">UC2 typical amount (₹)</t>
  </si>
  <si>
    <t xml:space="preserve">UC2 paid with</t>
  </si>
  <si>
    <t xml:space="preserve">Use case 3</t>
  </si>
  <si>
    <t xml:space="preserve">UC3 payments / month</t>
  </si>
  <si>
    <t xml:space="preserve">UC3 typical amount (₹)</t>
  </si>
  <si>
    <t xml:space="preserve">UC3 paid with</t>
  </si>
  <si>
    <t xml:space="preserve">Main barrier to paying suppliers on Paytm (coded)</t>
  </si>
  <si>
    <t xml:space="preserve">Knew Paytm can pay suppliers?</t>
  </si>
  <si>
    <t xml:space="preserve">Reaction: 'supplier bills show up inside Paytm, pay in 1 tap' (1–5)</t>
  </si>
  <si>
    <t xml:space="preserve">Would use 7-day pay-later for stock?</t>
  </si>
  <si>
    <t xml:space="preserve">Any supplier asked for cash / bank transfer instead of QR recently?</t>
  </si>
  <si>
    <t xml:space="preserve">CALC: Business UPI paid / month (₹)</t>
  </si>
  <si>
    <t xml:space="preserve">CALC: Paid via Paytm / month (₹)</t>
  </si>
  <si>
    <t xml:space="preserve">CALC: Paytm share of business UPI</t>
  </si>
  <si>
    <t xml:space="preserve">CALC: 'Leak' flag (receives on Paytm, pays suppliers mostly elsewhere)</t>
  </si>
  <si>
    <t xml:space="preserve">VOC-001</t>
  </si>
  <si>
    <t xml:space="preserve">Merchant</t>
  </si>
  <si>
    <t xml:space="preserve">PhonePe for stock bills; Cash for staff salary</t>
  </si>
  <si>
    <t xml:space="preserve">Paytm sirf aane ke liye hai, dena ho toh PhonePe khulta hai naturally.</t>
  </si>
  <si>
    <t xml:space="preserve">Customers pay on Paytm Soundbox; receiving only, no supplier payment goes through Paytm. Did not know Paytm can pay suppliers.</t>
  </si>
  <si>
    <t xml:space="preserve">Habit: other app is default</t>
  </si>
  <si>
    <t xml:space="preserve">Put the supplier bill inside Paytm + Soundbox reminder so Paytm becomes the default place to pay; keen on pay-later</t>
  </si>
  <si>
    <t xml:space="preserve">In-depth (15+ min)</t>
  </si>
  <si>
    <t xml:space="preserve">Owner's personal phone</t>
  </si>
  <si>
    <t xml:space="preserve">Distributor / wholesaler (stock)</t>
  </si>
  <si>
    <t xml:space="preserve">Staff salary</t>
  </si>
  <si>
    <t xml:space="preserve">VOC-002</t>
  </si>
  <si>
    <t xml:space="preserve">Google Pay for stock bills; Bank transfer (NEFT/RTGS) for rent</t>
  </si>
  <si>
    <t xml:space="preserve">Medical distributor apna GPay ka QR bhejta hai WhatsApp pe, wahi aasan hai.</t>
  </si>
  <si>
    <t xml:space="preserve">Customers pay on Paytm QR only; receiving only, no supplier payment goes through Paytm. Knew Paytm can pay suppliers but still uses other apps.</t>
  </si>
  <si>
    <t xml:space="preserve">Salesman shows his own QR</t>
  </si>
  <si>
    <t xml:space="preserve">Distributor-led onboarding: supplier's bill/QR lands in Chukta, salesman asks shop to pay there; keen on pay-later</t>
  </si>
  <si>
    <t xml:space="preserve">Shop rent</t>
  </si>
  <si>
    <t xml:space="preserve">Bank transfer (NEFT/RTGS)</t>
  </si>
  <si>
    <t xml:space="preserve">Supplier shared another app's QR / asked</t>
  </si>
  <si>
    <t xml:space="preserve">Not yet</t>
  </si>
  <si>
    <t xml:space="preserve">VOC-003</t>
  </si>
  <si>
    <t xml:space="preserve">Hall 1 Canteen</t>
  </si>
  <si>
    <t xml:space="preserve">Restaurant / dhaba / canteen</t>
  </si>
  <si>
    <t xml:space="preserve">Cash for daily perishables; PhonePe for daily perishables</t>
  </si>
  <si>
    <t xml:space="preserve">Sabji wala cash mangta hai aur baki ke liye PhonePe use karte hain.</t>
  </si>
  <si>
    <t xml:space="preserve">Short on cash when stock arrives</t>
  </si>
  <si>
    <t xml:space="preserve">7-day pay-later at stock time; supplier still paid instantly</t>
  </si>
  <si>
    <t xml:space="preserve">Mostly cash / cheque</t>
  </si>
  <si>
    <t xml:space="preserve">Daily perishables (milk, bread, veg)</t>
  </si>
  <si>
    <t xml:space="preserve">VOC-004</t>
  </si>
  <si>
    <t xml:space="preserve">PhonePe for stock bills; Google Pay for daily perishables</t>
  </si>
  <si>
    <t xml:space="preserve">Dono kaam PhonePe se ho jate hain toh Paytm kyu rakhu.</t>
  </si>
  <si>
    <t xml:space="preserve">Customers pay on PhonePe Smartspeaker / QR; Paytm not used for receiving or paying suppliers. Did not know Paytm can pay suppliers.</t>
  </si>
  <si>
    <t xml:space="preserve">Put the supplier bill inside Paytm + Soundbox reminder so Paytm becomes the default place to pay</t>
  </si>
  <si>
    <t xml:space="preserve">PhonePe Smartspeaker / QR</t>
  </si>
  <si>
    <t xml:space="preserve">VOC-005</t>
  </si>
  <si>
    <t xml:space="preserve">Google Pay for stock bills; PhonePe for rent</t>
  </si>
  <si>
    <t xml:space="preserve">Paytm me feature hai kya supplier ko dene ka? Pata nahi tha.</t>
  </si>
  <si>
    <t xml:space="preserve">Unaware of feature</t>
  </si>
  <si>
    <t xml:space="preserve">Awareness at the counter: Soundbox / app prompt that Paytm can pay suppliers; keen on pay-later</t>
  </si>
  <si>
    <t xml:space="preserve">Shop phone</t>
  </si>
  <si>
    <t xml:space="preserve">Didn't know Paytm can pay suppliers</t>
  </si>
  <si>
    <t xml:space="preserve">VOC-006</t>
  </si>
  <si>
    <t xml:space="preserve">Mobile / electronics</t>
  </si>
  <si>
    <t xml:space="preserve">Bank transfer (NEFT/RTGS) for stock bills; Cash for staff salary</t>
  </si>
  <si>
    <t xml:space="preserve">None (NEFT / cash only)</t>
  </si>
  <si>
    <t xml:space="preserve">Distributor direct account me transfer mangta hai NEFT se bade amount ke liye.</t>
  </si>
  <si>
    <t xml:space="preserve">Customers pay on Google Pay QR; Paytm not used for receiving or paying suppliers. Knew Paytm can pay suppliers but still uses other apps.</t>
  </si>
  <si>
    <t xml:space="preserve">High ticket sizes prefer NEFT</t>
  </si>
  <si>
    <t xml:space="preserve">Pay supplier's bank account over UPI (bills are under ₹1 L) with invoice attached; keen on pay-later</t>
  </si>
  <si>
    <t xml:space="preserve">Google Pay QR</t>
  </si>
  <si>
    <t xml:space="preserve">Big bills go by NEFT / RTGS</t>
  </si>
  <si>
    <t xml:space="preserve">VOC-007</t>
  </si>
  <si>
    <t xml:space="preserve">Hall 5 Canteen</t>
  </si>
  <si>
    <t xml:space="preserve">Cash for daily perishables; PhonePe for stock bills</t>
  </si>
  <si>
    <t xml:space="preserve">Staff manages cash drawer</t>
  </si>
  <si>
    <t xml:space="preserve">Give staff a controlled way to pay suppliers from the shop's Paytm, with a nightly summary for the owner</t>
  </si>
  <si>
    <t xml:space="preserve">Raat ko hisaab karna padta hai, ladka cash ginta hai.</t>
  </si>
  <si>
    <t xml:space="preserve">Staff pays</t>
  </si>
  <si>
    <t xml:space="preserve">VOC-008</t>
  </si>
  <si>
    <t xml:space="preserve">Stationery / books</t>
  </si>
  <si>
    <t xml:space="preserve">Aadat ban gayi hai GPay ki pichle teen saal se.</t>
  </si>
  <si>
    <t xml:space="preserve">VOC-009</t>
  </si>
  <si>
    <t xml:space="preserve">Bank transfer (NEFT/RTGS) for stock bills; PhonePe for stock bills</t>
  </si>
  <si>
    <t xml:space="preserve">GST bill hota hai toh bank se karte hain, baki salesman aake QR deta hai.</t>
  </si>
  <si>
    <t xml:space="preserve">Customers pay on Bank / other QR; Paytm not used for receiving or paying suppliers. Knew Paytm can pay suppliers but still uses other apps.</t>
  </si>
  <si>
    <t xml:space="preserve">Distributor-led onboarding: supplier's bill/QR lands in Chukta, salesman asks shop to pay there</t>
  </si>
  <si>
    <t xml:space="preserve">Bank / other QR</t>
  </si>
  <si>
    <t xml:space="preserve">VOC-010</t>
  </si>
  <si>
    <t xml:space="preserve">Clothing / footwear</t>
  </si>
  <si>
    <t xml:space="preserve">App segregation</t>
  </si>
  <si>
    <t xml:space="preserve">Make paying as easy as receiving inside Paytm for Business, on the same phone; keen on pay-later</t>
  </si>
  <si>
    <t xml:space="preserve">Dukaan ke phone me bas Soundbox hai, payment mere private phone se hoti hai.</t>
  </si>
  <si>
    <t xml:space="preserve">Pays from personal phone (Paytm Business is only for receiving)</t>
  </si>
  <si>
    <t xml:space="preserve">VOC-011</t>
  </si>
  <si>
    <t xml:space="preserve">PhonePe hi chalta hai, salesman wahi QR deta hai.</t>
  </si>
  <si>
    <t xml:space="preserve">Customers pay on Paytm QR only; receiving only, no supplier payment goes through Paytm. Did not know Paytm can pay suppliers.</t>
  </si>
  <si>
    <t xml:space="preserve">Short (5 min)</t>
  </si>
  <si>
    <t xml:space="preserve">VOC-012</t>
  </si>
  <si>
    <t xml:space="preserve">Hall 2 Canteen</t>
  </si>
  <si>
    <t xml:space="preserve">Cash nikalna padta hai ATM se sabji wale ke liye.</t>
  </si>
  <si>
    <t xml:space="preserve">VOC-013</t>
  </si>
  <si>
    <t xml:space="preserve">Google Pay for stock bills; Cash for staff salary</t>
  </si>
  <si>
    <t xml:space="preserve">Scan karke pay karne me GPay aage hai.</t>
  </si>
  <si>
    <t xml:space="preserve">Customers pay on Google Pay QR; Paytm not used for receiving or paying suppliers. Did not know Paytm can pay suppliers.</t>
  </si>
  <si>
    <t xml:space="preserve">VOC-014</t>
  </si>
  <si>
    <t xml:space="preserve">Gurdev Palace</t>
  </si>
  <si>
    <t xml:space="preserve">PhonePe for stock bills; Bank transfer (NEFT/RTGS) for rent</t>
  </si>
  <si>
    <t xml:space="preserve">Hisaab alag alag jagah faila hua hai, PhonePe par history aasan hai.</t>
  </si>
  <si>
    <t xml:space="preserve">Customers pay on Paytm Soundbox; receiving only, no supplier payment goes through Paytm. Knew Paytm can pay suppliers but still uses other apps.</t>
  </si>
  <si>
    <t xml:space="preserve">Ledger reconciliation</t>
  </si>
  <si>
    <t xml:space="preserve">Invoice-tagged payments + auto purchase register; keen on pay-later</t>
  </si>
  <si>
    <t xml:space="preserve">Hard to track which bill is paid</t>
  </si>
  <si>
    <t xml:space="preserve">VOC-015</t>
  </si>
  <si>
    <t xml:space="preserve">Hall 12 Canteen</t>
  </si>
  <si>
    <t xml:space="preserve">PhonePe for daily perishables; Google Pay for stock bills</t>
  </si>
  <si>
    <t xml:space="preserve">Ek hi app me sab ho jaye toh badhiya hai.</t>
  </si>
  <si>
    <t xml:space="preserve">VOC-016</t>
  </si>
  <si>
    <t xml:space="preserve">PhonePe for stock bills; Cash for rent</t>
  </si>
  <si>
    <t xml:space="preserve">GPay par salesman ka QR scanned rehta hai, wahi use karta hu.</t>
  </si>
  <si>
    <t xml:space="preserve">VOC-017</t>
  </si>
  <si>
    <t xml:space="preserve">Cash for stock bills; PhonePe for rent</t>
  </si>
  <si>
    <t xml:space="preserve">Doodh wala cash ya PhonePe mangta hai daily.</t>
  </si>
  <si>
    <t xml:space="preserve">VOC-018</t>
  </si>
  <si>
    <t xml:space="preserve">Paytm business app kholna bhari lagta hai payment ke liye.</t>
  </si>
  <si>
    <t xml:space="preserve">VOC-019</t>
  </si>
  <si>
    <t xml:space="preserve">Bithoor Road</t>
  </si>
  <si>
    <t xml:space="preserve">Bade payment bank transfer se hi safe lagte hain.</t>
  </si>
  <si>
    <t xml:space="preserve">Trust/Large amounts</t>
  </si>
  <si>
    <t xml:space="preserve">Pay supplier's bank account over UPI (bills are under ₹1 L) with invoice attached</t>
  </si>
  <si>
    <t xml:space="preserve">VOC-020</t>
  </si>
  <si>
    <t xml:space="preserve">PhonePe for stock bills; Cash for daily perishables</t>
  </si>
  <si>
    <t xml:space="preserve">Cash kam padta hai toh udhaar likhte hain copy me.</t>
  </si>
  <si>
    <t xml:space="preserve">VOC-021</t>
  </si>
  <si>
    <t xml:space="preserve">Hall 13 Canteen</t>
  </si>
  <si>
    <t xml:space="preserve">Google Pay for daily perishables; PhonePe for stock bills</t>
  </si>
  <si>
    <t xml:space="preserve">Canteen ka hisaab daily GPay se set ho jata hai.</t>
  </si>
  <si>
    <t xml:space="preserve">VOC-022</t>
  </si>
  <si>
    <t xml:space="preserve">Bank transfer (NEFT/RTGS) for stock bills; PhonePe for rent</t>
  </si>
  <si>
    <t xml:space="preserve">Mobile accessories wali agency GPay par cash nahi leti bada, RTGS mangte hain.</t>
  </si>
  <si>
    <t xml:space="preserve">High ticket sizes</t>
  </si>
  <si>
    <t xml:space="preserve">VOC-023</t>
  </si>
  <si>
    <t xml:space="preserve">Medical wale GPay prefer karte hain, wahi chalta aa raha hai.</t>
  </si>
  <si>
    <t xml:space="preserve">VOC-024</t>
  </si>
  <si>
    <t xml:space="preserve">PhonePe sab use karte hain yahan gali me.</t>
  </si>
  <si>
    <t xml:space="preserve">VOC-025</t>
  </si>
  <si>
    <t xml:space="preserve">Soundbox bolta hai toh trust hota hai, par pay karne ke liye PhonePe theek hai.</t>
  </si>
  <si>
    <t xml:space="preserve">VOC-026</t>
  </si>
  <si>
    <t xml:space="preserve">Staff pay karta hai kabhi kabhi cash me subah subah.</t>
  </si>
  <si>
    <t xml:space="preserve">VOC-027</t>
  </si>
  <si>
    <t xml:space="preserve">Kapde ka stock bada hota hai, RTGS se jata hai.</t>
  </si>
  <si>
    <t xml:space="preserve">VOC-028</t>
  </si>
  <si>
    <t xml:space="preserve">Bread wala daily cash le jata hai, UPI nahi leta.</t>
  </si>
  <si>
    <t xml:space="preserve">VOC-029</t>
  </si>
  <si>
    <t xml:space="preserve">App badalne me aalas aata hai yaar.</t>
  </si>
  <si>
    <t xml:space="preserve">VOC-030</t>
  </si>
  <si>
    <t xml:space="preserve">Google Pay for stock bills; PhonePe for staff salary</t>
  </si>
  <si>
    <t xml:space="preserve">Challan WhatsApp pe aata hai, wahi se pay kar dete hain GPay pe.</t>
  </si>
  <si>
    <t xml:space="preserve">VOC-031</t>
  </si>
  <si>
    <t xml:space="preserve">Paytm se personal payment karte hain, business ke liye GPay.</t>
  </si>
  <si>
    <t xml:space="preserve">VOC-032</t>
  </si>
  <si>
    <t xml:space="preserve">Bhaiya, udhaar toh chalta hi hai, Paytm 7 din dega toh badhiya hai.</t>
  </si>
  <si>
    <t xml:space="preserve">VOC-033</t>
  </si>
  <si>
    <t xml:space="preserve">Stationery ka stock mahine me ek baar aata hai, GPay se jata hai.</t>
  </si>
  <si>
    <t xml:space="preserve">VOC-034</t>
  </si>
  <si>
    <t xml:space="preserve">Distributor bolta hai direct current account me daal do.</t>
  </si>
  <si>
    <t xml:space="preserve">VOC-035</t>
  </si>
  <si>
    <t xml:space="preserve">Kaam ke time jo app jaldi khule usse pay kar dete hain.</t>
  </si>
  <si>
    <t xml:space="preserve">VOC-036</t>
  </si>
  <si>
    <t xml:space="preserve">Kal kya dena hai bata de toh tension kam hogi, yaad nahi rehta.</t>
  </si>
  <si>
    <t xml:space="preserve">VOC-037</t>
  </si>
  <si>
    <t xml:space="preserve">Roz ka kharcha cash me ya GPay se nikal jata hai smoothly.</t>
  </si>
  <si>
    <t xml:space="preserve">VOC-038</t>
  </si>
  <si>
    <t xml:space="preserve">Wholesaler ko PhonePe ya NEFT se dete hain, aasan lagta hai.</t>
  </si>
  <si>
    <t xml:space="preserve">VOC-039</t>
  </si>
  <si>
    <t xml:space="preserve">Cash kam hota hai din me, Paytm credit de toh mast hai.</t>
  </si>
  <si>
    <t xml:space="preserve">VOC-040</t>
  </si>
  <si>
    <t xml:space="preserve">Bill ki photo khich ke pay karna achha idea hai, time bachega.</t>
  </si>
  <si>
    <t xml:space="preserve">VOC-041</t>
  </si>
  <si>
    <t xml:space="preserve">Salesman samne khada hota hai, jo QR de de us par kar dete hain.</t>
  </si>
  <si>
    <t xml:space="preserve">VOC-042</t>
  </si>
  <si>
    <t xml:space="preserve">Google Pay for stock bills; PhonePe for daily perishables</t>
  </si>
  <si>
    <t xml:space="preserve">Paytm Chukta jaisa kuch aaye toh zaroor try karenge.</t>
  </si>
  <si>
    <t xml:space="preserve">VOC-043</t>
  </si>
  <si>
    <t xml:space="preserve">Pay later toh bohot zaroori hai dukaandaron ke liye aaj kal.</t>
  </si>
  <si>
    <t xml:space="preserve">VOC-044</t>
  </si>
  <si>
    <t xml:space="preserve">Bank transfer (NEFT/RTGS) for stock bills; PhonePe for staff salary</t>
  </si>
  <si>
    <t xml:space="preserve">Agar bill dikh jaye app me toh easy ho jayega reconcile karna.</t>
  </si>
  <si>
    <t xml:space="preserve">Invoice-tagged payments + auto purchase register</t>
  </si>
  <si>
    <t xml:space="preserve">VOC-045</t>
  </si>
  <si>
    <t xml:space="preserve">Chai patti ka bill PhonePe se jata hai hamesha se.</t>
  </si>
  <si>
    <t xml:space="preserve">VOC-046</t>
  </si>
  <si>
    <t xml:space="preserve">GPay tez chalta hai payment ke liye chote amounts par.</t>
  </si>
  <si>
    <t xml:space="preserve">VOC-047</t>
  </si>
  <si>
    <t xml:space="preserve">7 din ka time mil jaye toh stock aur manga lenge.</t>
  </si>
  <si>
    <t xml:space="preserve">VOC-048</t>
  </si>
  <si>
    <t xml:space="preserve">Google Pay for stock bills; Cash for rent</t>
  </si>
  <si>
    <t xml:space="preserve">Credit mil jaye toh bohot kaam aayega stock ke din.</t>
  </si>
  <si>
    <t xml:space="preserve">VOC-049</t>
  </si>
  <si>
    <t xml:space="preserve">Paytm ka QR laga hai bas, use to cash hi hota hai.</t>
  </si>
  <si>
    <t xml:space="preserve">VOC-050</t>
  </si>
  <si>
    <t xml:space="preserve">Paytm me to sirf paise aate hain, udhaar ka feature accha rahega.</t>
  </si>
  <si>
    <t xml:space="preserve">Sources · every external number used in the deck</t>
  </si>
  <si>
    <t xml:space="preserve">Fact used</t>
  </si>
  <si>
    <t xml:space="preserve">Source</t>
  </si>
  <si>
    <t xml:space="preserve">Paytm Q1 FY27: 1.57 Cr device merchants, merchant GMV ₹7.1 L Cr (+31%), FS revenue ₹814 Cr (+45%), MTU 8 Cr</t>
  </si>
  <si>
    <t xml:space="preserve">https://upstox.com/news/market-news/earnings/paytm-q1-results-revenue-jumps-28-yo-y-to-2-448-crore-ebitda-zooms-182-yo-y-check-key-metrics/article-197256/</t>
  </si>
  <si>
    <t xml:space="preserve">Paytm Q1 FY27 detail (device merchants 1.57 Cr; MTU)</t>
  </si>
  <si>
    <t xml:space="preserve">https://hdfcsky.com/news/paytm-q1-fy27-profit-soars-79percent-ebitda-hits-record-high</t>
  </si>
  <si>
    <t xml:space="preserve">UPI MDR 0.4% on P2M &gt; ₹2,000 from 15 Oct 2026; ₹300 cap; ≤ ₹2,000 free</t>
  </si>
  <si>
    <t xml:space="preserve">https://www.angelone.in/news/economy/npci-introduces-0-4-mdr-on-upi-payments-above-2-000-from-october-15-2026</t>
  </si>
  <si>
    <t xml:space="preserve">P2PM small merchants (≤ ₹1 L/month) exempt; MDR borne by merchants</t>
  </si>
  <si>
    <t xml:space="preserve">https://www.icicidirect.com/research/equity/blog/npci-will-introduce-a-mdr-on-select-p2m-upi-transactions-above-rs-2000-from-october-15</t>
  </si>
  <si>
    <t xml:space="preserve">MDR split: issuer 40%, acquirer 30%, UPI apps 20%, app bank partners 10%</t>
  </si>
  <si>
    <t xml:space="preserve">https://india.entrepreneur.com/business-news/npci-announces-0-4-mdr-on-upi-transactions-above-inr-2000</t>
  </si>
  <si>
    <t xml:space="preserve">NPCI MDR FAQs, 15 Sep 2026</t>
  </si>
  <si>
    <t xml:space="preserve">https://www.scconline.com/blog/post/2026/09/16/npci-released-upi-mdr-faqs-explained/</t>
  </si>
  <si>
    <t xml:space="preserve">UPI P2P collect discontinued from 1 Oct 2025 (circular 29 Jul 2025)</t>
  </si>
  <si>
    <t xml:space="preserve">https://www.outlookmoney.com/banking/npci-to-end-upi-p2p-collect-requests-from-october-1-to-reduce-fraud</t>
  </si>
  <si>
    <t xml:space="preserve">NPCI 30% cap due 31 Dec 2026; PhonePe + GPay 78.6% of volume (Jul 2026)</t>
  </si>
  <si>
    <t xml:space="preserve">https://startupfeed.in/upi-30-percent-cap-deadline-phonepe-google-pay-2026/</t>
  </si>
  <si>
    <t xml:space="preserve">UPI app shares 2026 (PhonePe ~46%, GPay ~32.7%, Paytm ~7.9%)</t>
  </si>
  <si>
    <t xml:space="preserve">https://currentaffairs.adda247.com/top-10-upi-apps-in-india-by-market-share-in-2026/</t>
  </si>
  <si>
    <t xml:space="preserve">Paytm UPI share Aug 2026 8.1% (R1 source)</t>
  </si>
  <si>
    <t xml:space="preserve">https://inc42.com/buzz/upi-in-august-navis-market-share-climbs-to-4-4-phonepe-google-pay-slip/</t>
  </si>
  <si>
    <t xml:space="preserve">Paytm AI Soundbox launch (9 Oct 2025; 11 languages; voice assistant)</t>
  </si>
  <si>
    <t xml:space="preserve">https://paytm.com/blog/artificial-intelligence/paytm-launches-indias-first-ai-soundbox-for-payments/</t>
  </si>
  <si>
    <t xml:space="preserve">Paytm for Business app (10 M+ businesses; receiving-focused)</t>
  </si>
  <si>
    <t xml:space="preserve">https://play.google.com/store/apps/details?id=com.paytm.business&amp;hl=en_IN</t>
  </si>
  <si>
    <t xml:space="preserve">PhonePe Business app (5 Cr merchants; speakers; EDI loans; no supplier-bill feature listed)</t>
  </si>
  <si>
    <t xml:space="preserve">https://play.google.com/store/apps/details?id=com.phonepe.app.business&amp;hl=en_IN</t>
  </si>
  <si>
    <t xml:space="preserve">Paytm Postpaid credit line on UPI with Suryoday SFB (merchant payments only)</t>
  </si>
  <si>
    <t xml:space="preserve">https://www.medianama.com/2025/09/223-paytm-upi-credit-line-suryoday-bank/</t>
  </si>
  <si>
    <t xml:space="preserve">Credit line on UPI: banks offering; SFBs permitted</t>
  </si>
  <si>
    <t xml:space="preserve">https://www.business-standard.com/amp/finance/news/rbi-allows-small-finance-banks-to-offer-pre-sanctioned-credit-line-on-upi-124120600474_1.html</t>
  </si>
  <si>
    <t xml:space="preserve">Bharat Connect for Business: 2 mn+ invoice txns Q3 FY26, ~50% MoM growth</t>
  </si>
  <si>
    <t xml:space="preserve">https://deshgujarat.com/2026/02/26/nbbls-bharat-connect-for-business-emerges-as-digital-backbone-for-gujarats-43-lakh-msmes/</t>
  </si>
  <si>
    <t xml:space="preserve">TallyPrime 7.0 integrates Bharat Connect for Business</t>
  </si>
  <si>
    <t xml:space="preserve">https://tallysolutions.com/tally/b2b-bharat-connect-tallyprime/</t>
  </si>
  <si>
    <t xml:space="preserve">E-invoice: ₹5 Cr threshold; signed QR fields (GSTINs, invoice no., date, value, IRN)</t>
  </si>
  <si>
    <t xml:space="preserve">https://busy.in/gst/invoice-registration-portal-irp-under-gst.md</t>
  </si>
  <si>
    <t xml:space="preserve">E-invoice threshold unchanged in 2026</t>
  </si>
  <si>
    <t xml:space="preserve">https://tallysolutions.com/accounting/e-invoicing-rules-in-india/</t>
  </si>
  <si>
    <t xml:space="preserve">FMCG distributor margins 4–8% GT; retailer credit 7–21 days</t>
  </si>
  <si>
    <t xml:space="preserve">https://spirestock.com/blog/fmcg-distributor-margin-profit-guide-india</t>
  </si>
  <si>
    <t xml:space="preserve">Kirana count ~13 M; distributor credit across hundreds of small accounts</t>
  </si>
  <si>
    <t xml:space="preserve">https://spirestock.com/blog/kirana-store-meaning-fmcg-distribution</t>
  </si>
  <si>
    <t xml:space="preserve">Bizom: 600+ brands, 8 M retailers</t>
  </si>
  <si>
    <t xml:space="preserve">https://happierleads.com/companies/bizom-com</t>
  </si>
  <si>
    <t xml:space="preserve">Marg ERP 6 L+ users</t>
  </si>
  <si>
    <t xml:space="preserve">https://www.softwaresuggest.com/us/distribution-management-software</t>
  </si>
  <si>
    <t xml:space="preserve">Round 1 primary research: 50 VOCs, Kanpur, Sep 2026</t>
  </si>
  <si>
    <t xml:space="preserve">KartikRaj_VOC.xlsx (sheet "R1 VOC" in this workbook)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</si>
</sst>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-mmm\-yy"/>
    <numFmt numFmtId="166" formatCode="#,##0"/>
    <numFmt numFmtId="167" formatCode="General"/>
    <numFmt numFmtId="168" formatCode="0%"/>
    <numFmt numFmtId="169" formatCode="0"/>
    <numFmt numFmtId="170" formatCode="0.0%"/>
    <numFmt numFmtId="171" formatCode="0.00%"/>
    <numFmt numFmtId="172" formatCode="0.0"/>
    <numFmt numFmtId="173" formatCode="0.00"/>
    <numFmt numFmtId="174" formatCode="0.000"/>
    <numFmt numFmtId="175" formatCode="0.0\×"/>
    <numFmt numFmtId="176" formatCode="yyyy\-mm\-dd\ h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E6E"/>
      <name val="Arial"/>
      <family val="0"/>
      <charset val="1"/>
    </font>
    <font>
      <i val="true"/>
      <sz val="9"/>
      <color rgb="FF5B6B8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3F5FD"/>
        <bgColor rgb="FFCCFFFF"/>
      </patternFill>
    </fill>
    <fill>
      <patternFill patternType="solid">
        <fgColor rgb="FF002E6E"/>
        <bgColor rgb="FF333399"/>
      </patternFill>
    </fill>
    <fill>
      <patternFill patternType="solid">
        <fgColor rgb="FFFFF9C4"/>
        <bgColor rgb="FFFFFF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FEB"/>
      </left>
      <right style="thin">
        <color rgb="FFD3DFEB"/>
      </right>
      <top style="thin">
        <color rgb="FFD3DFEB"/>
      </top>
      <bottom style="thin">
        <color rgb="FFD3DF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5FD"/>
      <rgbColor rgb="FF660066"/>
      <rgbColor rgb="FFFF8080"/>
      <rgbColor rgb="FF0066CC"/>
      <rgbColor rgb="FFD3DF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002E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  <c r="C4" s="4" t="s">
        <v>3</v>
      </c>
    </row>
    <row r="5" customFormat="false" ht="35.05" hidden="false" customHeight="false" outlineLevel="0" collapsed="false">
      <c r="B5" s="3" t="s">
        <v>4</v>
      </c>
      <c r="C5" s="4" t="s">
        <v>5</v>
      </c>
    </row>
    <row r="6" customFormat="false" ht="23.85" hidden="false" customHeight="false" outlineLevel="0" collapsed="false">
      <c r="B6" s="3" t="s">
        <v>6</v>
      </c>
      <c r="C6" s="4" t="s">
        <v>7</v>
      </c>
    </row>
    <row r="7" customFormat="false" ht="23.85" hidden="false" customHeight="false" outlineLevel="0" collapsed="false">
      <c r="B7" s="3" t="s">
        <v>8</v>
      </c>
      <c r="C7" s="4" t="s">
        <v>9</v>
      </c>
    </row>
    <row r="8" customFormat="false" ht="15" hidden="false" customHeight="false" outlineLevel="0" collapsed="false">
      <c r="B8" s="3" t="s">
        <v>10</v>
      </c>
      <c r="C8" s="4" t="s">
        <v>11</v>
      </c>
    </row>
    <row r="9" customFormat="false" ht="15" hidden="false" customHeight="false" outlineLevel="0" collapsed="false">
      <c r="B9" s="3" t="s">
        <v>12</v>
      </c>
      <c r="C9" s="4" t="s">
        <v>13</v>
      </c>
    </row>
    <row r="10" customFormat="false" ht="15" hidden="false" customHeight="false" outlineLevel="0" collapsed="false">
      <c r="B10" s="3" t="s">
        <v>14</v>
      </c>
      <c r="C10" s="4" t="s">
        <v>15</v>
      </c>
    </row>
    <row r="11" customFormat="false" ht="23.85" hidden="false" customHeight="false" outlineLevel="0" collapsed="false">
      <c r="B11" s="3" t="s">
        <v>16</v>
      </c>
      <c r="C11" s="4" t="s">
        <v>17</v>
      </c>
    </row>
    <row r="12" customFormat="false" ht="15" hidden="false" customHeight="false" outlineLevel="0" collapsed="false">
      <c r="B12" s="3" t="s">
        <v>18</v>
      </c>
      <c r="C12" s="4" t="s">
        <v>19</v>
      </c>
    </row>
    <row r="13" customFormat="false" ht="15" hidden="false" customHeight="false" outlineLevel="0" collapsed="false">
      <c r="B13" s="3" t="s">
        <v>20</v>
      </c>
      <c r="C13" s="4" t="s">
        <v>21</v>
      </c>
    </row>
    <row r="14" customFormat="false" ht="15" hidden="false" customHeight="false" outlineLevel="0" collapsed="false">
      <c r="B14" s="3" t="s">
        <v>22</v>
      </c>
      <c r="C14" s="4" t="s">
        <v>23</v>
      </c>
    </row>
    <row r="15" customFormat="false" ht="15" hidden="false" customHeight="false" outlineLevel="0" collapsed="false">
      <c r="B15" s="3" t="s">
        <v>24</v>
      </c>
      <c r="C15" s="4" t="s">
        <v>25</v>
      </c>
    </row>
    <row r="16" customFormat="false" ht="15" hidden="false" customHeight="false" outlineLevel="0" collapsed="false">
      <c r="B16" s="3" t="s">
        <v>26</v>
      </c>
      <c r="C16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38"/>
    <col collapsed="false" customWidth="true" hidden="false" outlineLevel="0" max="15" min="15" style="0" width="22"/>
    <col collapsed="false" customWidth="true" hidden="false" outlineLevel="0" max="16" min="16" style="0" width="16"/>
    <col collapsed="false" customWidth="true" hidden="false" outlineLevel="0" max="18" min="17" style="0" width="12"/>
    <col collapsed="false" customWidth="true" hidden="false" outlineLevel="0" max="19" min="19" style="0" width="13"/>
    <col collapsed="false" customWidth="true" hidden="false" outlineLevel="0" max="21" min="20" style="0" width="11"/>
    <col collapsed="false" customWidth="true" hidden="false" outlineLevel="0" max="22" min="22" style="0" width="30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5" customFormat="false" ht="30" hidden="false" customHeight="true" outlineLevel="0" collapsed="false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</row>
    <row r="6" customFormat="false" ht="15" hidden="false" customHeight="false" outlineLevel="0" collapsed="false">
      <c r="A6" s="6" t="s">
        <v>52</v>
      </c>
      <c r="B6" s="7" t="n">
        <v>46303</v>
      </c>
      <c r="C6" s="6" t="s">
        <v>53</v>
      </c>
      <c r="D6" s="6" t="s">
        <v>54</v>
      </c>
      <c r="E6" s="6" t="s">
        <v>55</v>
      </c>
      <c r="F6" s="6" t="s">
        <v>56</v>
      </c>
      <c r="G6" s="6" t="s">
        <v>57</v>
      </c>
      <c r="H6" s="8" t="n">
        <v>4369</v>
      </c>
      <c r="I6" s="6" t="s">
        <v>58</v>
      </c>
      <c r="J6" s="6" t="s">
        <v>59</v>
      </c>
      <c r="K6" s="6" t="n">
        <v>2</v>
      </c>
      <c r="L6" s="6" t="n">
        <v>5</v>
      </c>
      <c r="M6" s="6" t="s">
        <v>57</v>
      </c>
      <c r="N6" s="6" t="s">
        <v>60</v>
      </c>
      <c r="O6" s="6" t="s">
        <v>61</v>
      </c>
      <c r="P6" s="6" t="s">
        <v>62</v>
      </c>
      <c r="Q6" s="6" t="s">
        <v>57</v>
      </c>
      <c r="R6" s="6" t="s">
        <v>63</v>
      </c>
      <c r="S6" s="6" t="s">
        <v>63</v>
      </c>
      <c r="T6" s="6" t="s">
        <v>63</v>
      </c>
      <c r="U6" s="6" t="s">
        <v>57</v>
      </c>
      <c r="V6" s="6"/>
    </row>
    <row r="7" customFormat="false" ht="15" hidden="false" customHeight="false" outlineLevel="0" collapsed="false">
      <c r="A7" s="6" t="s">
        <v>64</v>
      </c>
      <c r="B7" s="7" t="n">
        <v>46303</v>
      </c>
      <c r="C7" s="6" t="s">
        <v>65</v>
      </c>
      <c r="D7" s="6" t="s">
        <v>54</v>
      </c>
      <c r="E7" s="6" t="s">
        <v>55</v>
      </c>
      <c r="F7" s="6" t="s">
        <v>66</v>
      </c>
      <c r="G7" s="6" t="s">
        <v>57</v>
      </c>
      <c r="H7" s="8" t="n">
        <v>36592</v>
      </c>
      <c r="I7" s="6" t="s">
        <v>58</v>
      </c>
      <c r="J7" s="6" t="s">
        <v>59</v>
      </c>
      <c r="K7" s="6" t="n">
        <v>4</v>
      </c>
      <c r="L7" s="6" t="n">
        <v>4</v>
      </c>
      <c r="M7" s="6" t="s">
        <v>67</v>
      </c>
      <c r="N7" s="6" t="s">
        <v>60</v>
      </c>
      <c r="O7" s="6" t="s">
        <v>61</v>
      </c>
      <c r="P7" s="6" t="s">
        <v>62</v>
      </c>
      <c r="Q7" s="6" t="s">
        <v>57</v>
      </c>
      <c r="R7" s="6" t="s">
        <v>57</v>
      </c>
      <c r="S7" s="6" t="s">
        <v>63</v>
      </c>
      <c r="T7" s="6" t="s">
        <v>63</v>
      </c>
      <c r="U7" s="6" t="s">
        <v>57</v>
      </c>
      <c r="V7" s="6"/>
    </row>
    <row r="8" customFormat="false" ht="15" hidden="false" customHeight="false" outlineLevel="0" collapsed="false">
      <c r="A8" s="6" t="s">
        <v>68</v>
      </c>
      <c r="B8" s="7" t="n">
        <v>46303</v>
      </c>
      <c r="C8" s="6" t="s">
        <v>65</v>
      </c>
      <c r="D8" s="6" t="s">
        <v>54</v>
      </c>
      <c r="E8" s="6" t="s">
        <v>69</v>
      </c>
      <c r="F8" s="6" t="s">
        <v>66</v>
      </c>
      <c r="G8" s="6" t="s">
        <v>57</v>
      </c>
      <c r="H8" s="8" t="n">
        <v>31086</v>
      </c>
      <c r="I8" s="6" t="s">
        <v>58</v>
      </c>
      <c r="J8" s="6" t="s">
        <v>59</v>
      </c>
      <c r="K8" s="6" t="n">
        <v>3</v>
      </c>
      <c r="L8" s="6" t="n">
        <v>5</v>
      </c>
      <c r="M8" s="6" t="s">
        <v>67</v>
      </c>
      <c r="N8" s="6" t="s">
        <v>70</v>
      </c>
      <c r="O8" s="6" t="s">
        <v>71</v>
      </c>
      <c r="P8" s="6" t="s">
        <v>72</v>
      </c>
      <c r="Q8" s="6" t="s">
        <v>57</v>
      </c>
      <c r="R8" s="6" t="s">
        <v>57</v>
      </c>
      <c r="S8" s="6" t="s">
        <v>73</v>
      </c>
      <c r="T8" s="6" t="s">
        <v>57</v>
      </c>
      <c r="U8" s="6" t="s">
        <v>57</v>
      </c>
      <c r="V8" s="6"/>
    </row>
    <row r="9" customFormat="false" ht="15" hidden="false" customHeight="false" outlineLevel="0" collapsed="false">
      <c r="A9" s="6" t="s">
        <v>74</v>
      </c>
      <c r="B9" s="7" t="n">
        <v>46303</v>
      </c>
      <c r="C9" s="6" t="s">
        <v>75</v>
      </c>
      <c r="D9" s="6" t="s">
        <v>54</v>
      </c>
      <c r="E9" s="6" t="s">
        <v>69</v>
      </c>
      <c r="F9" s="6" t="s">
        <v>76</v>
      </c>
      <c r="G9" s="6" t="s">
        <v>57</v>
      </c>
      <c r="H9" s="8" t="n">
        <v>32247</v>
      </c>
      <c r="I9" s="6" t="s">
        <v>58</v>
      </c>
      <c r="J9" s="6" t="s">
        <v>59</v>
      </c>
      <c r="K9" s="6" t="n">
        <v>3</v>
      </c>
      <c r="L9" s="6" t="n">
        <v>4</v>
      </c>
      <c r="M9" s="6" t="s">
        <v>57</v>
      </c>
      <c r="N9" s="6" t="s">
        <v>77</v>
      </c>
      <c r="O9" s="6" t="s">
        <v>78</v>
      </c>
      <c r="P9" s="6" t="s">
        <v>62</v>
      </c>
      <c r="Q9" s="6" t="s">
        <v>57</v>
      </c>
      <c r="R9" s="6" t="s">
        <v>57</v>
      </c>
      <c r="S9" s="6" t="s">
        <v>63</v>
      </c>
      <c r="T9" s="6" t="s">
        <v>57</v>
      </c>
      <c r="U9" s="6" t="s">
        <v>57</v>
      </c>
      <c r="V9" s="6"/>
    </row>
    <row r="10" customFormat="false" ht="15" hidden="false" customHeight="false" outlineLevel="0" collapsed="false">
      <c r="A10" s="6" t="s">
        <v>79</v>
      </c>
      <c r="B10" s="7" t="n">
        <v>46303</v>
      </c>
      <c r="C10" s="6" t="s">
        <v>80</v>
      </c>
      <c r="D10" s="6" t="s">
        <v>54</v>
      </c>
      <c r="E10" s="6" t="s">
        <v>55</v>
      </c>
      <c r="F10" s="6" t="s">
        <v>66</v>
      </c>
      <c r="G10" s="6" t="s">
        <v>57</v>
      </c>
      <c r="H10" s="8" t="n">
        <v>28080</v>
      </c>
      <c r="I10" s="6" t="s">
        <v>58</v>
      </c>
      <c r="J10" s="6" t="s">
        <v>59</v>
      </c>
      <c r="K10" s="6" t="n">
        <v>4</v>
      </c>
      <c r="L10" s="6" t="n">
        <v>5</v>
      </c>
      <c r="M10" s="6" t="s">
        <v>67</v>
      </c>
      <c r="N10" s="6" t="s">
        <v>81</v>
      </c>
      <c r="O10" s="6" t="s">
        <v>82</v>
      </c>
      <c r="P10" s="6" t="s">
        <v>72</v>
      </c>
      <c r="Q10" s="6" t="s">
        <v>57</v>
      </c>
      <c r="R10" s="6" t="s">
        <v>57</v>
      </c>
      <c r="S10" s="6" t="s">
        <v>57</v>
      </c>
      <c r="T10" s="6" t="s">
        <v>57</v>
      </c>
      <c r="U10" s="6" t="s">
        <v>57</v>
      </c>
      <c r="V10" s="6"/>
    </row>
    <row r="11" customFormat="false" ht="15" hidden="false" customHeight="false" outlineLevel="0" collapsed="false">
      <c r="A11" s="6" t="s">
        <v>83</v>
      </c>
      <c r="B11" s="7" t="n">
        <v>46303</v>
      </c>
      <c r="C11" s="6" t="s">
        <v>53</v>
      </c>
      <c r="D11" s="6" t="s">
        <v>54</v>
      </c>
      <c r="E11" s="6" t="s">
        <v>55</v>
      </c>
      <c r="F11" s="6" t="s">
        <v>66</v>
      </c>
      <c r="G11" s="6" t="s">
        <v>57</v>
      </c>
      <c r="H11" s="8" t="n">
        <v>32306</v>
      </c>
      <c r="I11" s="6" t="s">
        <v>58</v>
      </c>
      <c r="J11" s="6" t="s">
        <v>59</v>
      </c>
      <c r="K11" s="6" t="n">
        <v>5</v>
      </c>
      <c r="L11" s="6" t="n">
        <v>5</v>
      </c>
      <c r="M11" s="6" t="s">
        <v>57</v>
      </c>
      <c r="N11" s="6" t="s">
        <v>84</v>
      </c>
      <c r="O11" s="6" t="s">
        <v>85</v>
      </c>
      <c r="P11" s="6" t="s">
        <v>72</v>
      </c>
      <c r="Q11" s="6" t="s">
        <v>57</v>
      </c>
      <c r="R11" s="6" t="s">
        <v>63</v>
      </c>
      <c r="S11" s="6" t="s">
        <v>57</v>
      </c>
      <c r="T11" s="6" t="s">
        <v>57</v>
      </c>
      <c r="U11" s="6" t="s">
        <v>57</v>
      </c>
      <c r="V11" s="6"/>
    </row>
    <row r="12" customFormat="false" ht="15" hidden="false" customHeight="false" outlineLevel="0" collapsed="false">
      <c r="A12" s="6" t="s">
        <v>86</v>
      </c>
      <c r="B12" s="7" t="n">
        <v>46303</v>
      </c>
      <c r="C12" s="6" t="s">
        <v>87</v>
      </c>
      <c r="D12" s="6" t="s">
        <v>54</v>
      </c>
      <c r="E12" s="6" t="s">
        <v>55</v>
      </c>
      <c r="F12" s="6" t="s">
        <v>56</v>
      </c>
      <c r="G12" s="6" t="s">
        <v>57</v>
      </c>
      <c r="H12" s="8" t="n">
        <v>28965</v>
      </c>
      <c r="I12" s="6" t="s">
        <v>58</v>
      </c>
      <c r="J12" s="6" t="s">
        <v>59</v>
      </c>
      <c r="K12" s="6" t="n">
        <v>4</v>
      </c>
      <c r="L12" s="6" t="n">
        <v>4</v>
      </c>
      <c r="M12" s="6" t="s">
        <v>67</v>
      </c>
      <c r="N12" s="6" t="s">
        <v>77</v>
      </c>
      <c r="O12" s="6" t="s">
        <v>78</v>
      </c>
      <c r="P12" s="6" t="s">
        <v>62</v>
      </c>
      <c r="Q12" s="6" t="s">
        <v>57</v>
      </c>
      <c r="R12" s="6" t="s">
        <v>63</v>
      </c>
      <c r="S12" s="6" t="s">
        <v>88</v>
      </c>
      <c r="T12" s="6" t="s">
        <v>57</v>
      </c>
      <c r="U12" s="6" t="s">
        <v>57</v>
      </c>
      <c r="V12" s="6"/>
    </row>
    <row r="13" customFormat="false" ht="15" hidden="false" customHeight="false" outlineLevel="0" collapsed="false">
      <c r="A13" s="6" t="s">
        <v>89</v>
      </c>
      <c r="B13" s="7" t="n">
        <v>46303</v>
      </c>
      <c r="C13" s="6" t="s">
        <v>75</v>
      </c>
      <c r="D13" s="6" t="s">
        <v>54</v>
      </c>
      <c r="E13" s="6" t="s">
        <v>69</v>
      </c>
      <c r="F13" s="6" t="s">
        <v>66</v>
      </c>
      <c r="G13" s="6" t="s">
        <v>57</v>
      </c>
      <c r="H13" s="8" t="n">
        <v>43851</v>
      </c>
      <c r="I13" s="6" t="s">
        <v>58</v>
      </c>
      <c r="J13" s="6" t="s">
        <v>59</v>
      </c>
      <c r="K13" s="6" t="n">
        <v>5</v>
      </c>
      <c r="L13" s="6" t="n">
        <v>4</v>
      </c>
      <c r="M13" s="6" t="s">
        <v>67</v>
      </c>
      <c r="N13" s="6" t="s">
        <v>84</v>
      </c>
      <c r="O13" s="6" t="s">
        <v>85</v>
      </c>
      <c r="P13" s="6" t="s">
        <v>62</v>
      </c>
      <c r="Q13" s="6" t="s">
        <v>57</v>
      </c>
      <c r="R13" s="6" t="s">
        <v>63</v>
      </c>
      <c r="S13" s="6" t="s">
        <v>73</v>
      </c>
      <c r="T13" s="6" t="s">
        <v>63</v>
      </c>
      <c r="U13" s="6" t="s">
        <v>57</v>
      </c>
      <c r="V13" s="6"/>
    </row>
    <row r="14" customFormat="false" ht="15" hidden="false" customHeight="false" outlineLevel="0" collapsed="false">
      <c r="A14" s="6" t="s">
        <v>90</v>
      </c>
      <c r="B14" s="7" t="n">
        <v>46303</v>
      </c>
      <c r="C14" s="6" t="s">
        <v>65</v>
      </c>
      <c r="D14" s="6" t="s">
        <v>91</v>
      </c>
      <c r="E14" s="6" t="s">
        <v>55</v>
      </c>
      <c r="F14" s="6" t="s">
        <v>76</v>
      </c>
      <c r="G14" s="6" t="s">
        <v>57</v>
      </c>
      <c r="H14" s="8" t="n">
        <v>40461</v>
      </c>
      <c r="I14" s="6" t="s">
        <v>58</v>
      </c>
      <c r="J14" s="6" t="s">
        <v>59</v>
      </c>
      <c r="K14" s="6" t="n">
        <v>5</v>
      </c>
      <c r="L14" s="6" t="n">
        <v>5</v>
      </c>
      <c r="M14" s="6" t="s">
        <v>67</v>
      </c>
      <c r="N14" s="6" t="s">
        <v>60</v>
      </c>
      <c r="O14" s="6" t="s">
        <v>61</v>
      </c>
      <c r="P14" s="6" t="s">
        <v>62</v>
      </c>
      <c r="Q14" s="6" t="s">
        <v>57</v>
      </c>
      <c r="R14" s="6" t="s">
        <v>63</v>
      </c>
      <c r="S14" s="6" t="s">
        <v>73</v>
      </c>
      <c r="T14" s="6" t="s">
        <v>57</v>
      </c>
      <c r="U14" s="6" t="s">
        <v>57</v>
      </c>
      <c r="V14" s="6"/>
    </row>
    <row r="15" customFormat="false" ht="15" hidden="false" customHeight="false" outlineLevel="0" collapsed="false">
      <c r="A15" s="6" t="s">
        <v>92</v>
      </c>
      <c r="B15" s="7" t="n">
        <v>46303</v>
      </c>
      <c r="C15" s="6" t="s">
        <v>80</v>
      </c>
      <c r="D15" s="6" t="s">
        <v>91</v>
      </c>
      <c r="E15" s="6" t="s">
        <v>69</v>
      </c>
      <c r="F15" s="6" t="s">
        <v>66</v>
      </c>
      <c r="G15" s="6" t="s">
        <v>57</v>
      </c>
      <c r="H15" s="8" t="n">
        <v>19902</v>
      </c>
      <c r="I15" s="6" t="s">
        <v>58</v>
      </c>
      <c r="J15" s="6" t="s">
        <v>59</v>
      </c>
      <c r="K15" s="6" t="n">
        <v>5</v>
      </c>
      <c r="L15" s="6" t="n">
        <v>4</v>
      </c>
      <c r="M15" s="6" t="s">
        <v>67</v>
      </c>
      <c r="N15" s="6" t="s">
        <v>93</v>
      </c>
      <c r="O15" s="6" t="s">
        <v>85</v>
      </c>
      <c r="P15" s="6" t="s">
        <v>62</v>
      </c>
      <c r="Q15" s="6" t="s">
        <v>57</v>
      </c>
      <c r="R15" s="6" t="s">
        <v>63</v>
      </c>
      <c r="S15" s="6" t="s">
        <v>57</v>
      </c>
      <c r="T15" s="6" t="s">
        <v>57</v>
      </c>
      <c r="U15" s="6" t="s">
        <v>57</v>
      </c>
      <c r="V15" s="6"/>
    </row>
    <row r="16" customFormat="false" ht="15" hidden="false" customHeight="false" outlineLevel="0" collapsed="false">
      <c r="A16" s="6" t="s">
        <v>94</v>
      </c>
      <c r="B16" s="7" t="n">
        <v>46303</v>
      </c>
      <c r="C16" s="6" t="s">
        <v>65</v>
      </c>
      <c r="D16" s="6" t="s">
        <v>95</v>
      </c>
      <c r="E16" s="6" t="s">
        <v>55</v>
      </c>
      <c r="F16" s="6" t="s">
        <v>56</v>
      </c>
      <c r="G16" s="6" t="s">
        <v>63</v>
      </c>
      <c r="H16" s="8" t="n">
        <v>42691</v>
      </c>
      <c r="I16" s="6" t="s">
        <v>96</v>
      </c>
      <c r="J16" s="6" t="s">
        <v>59</v>
      </c>
      <c r="K16" s="6" t="n">
        <v>5</v>
      </c>
      <c r="L16" s="6" t="n">
        <v>5</v>
      </c>
      <c r="M16" s="6" t="s">
        <v>57</v>
      </c>
      <c r="N16" s="6" t="s">
        <v>70</v>
      </c>
      <c r="O16" s="6" t="s">
        <v>71</v>
      </c>
      <c r="P16" s="6" t="s">
        <v>72</v>
      </c>
      <c r="Q16" s="6" t="s">
        <v>57</v>
      </c>
      <c r="R16" s="6" t="s">
        <v>57</v>
      </c>
      <c r="S16" s="6" t="s">
        <v>57</v>
      </c>
      <c r="T16" s="6" t="s">
        <v>57</v>
      </c>
      <c r="U16" s="6" t="s">
        <v>57</v>
      </c>
      <c r="V16" s="6"/>
    </row>
    <row r="17" customFormat="false" ht="15" hidden="false" customHeight="false" outlineLevel="0" collapsed="false">
      <c r="A17" s="6" t="s">
        <v>97</v>
      </c>
      <c r="B17" s="7" t="n">
        <v>46303</v>
      </c>
      <c r="C17" s="6" t="s">
        <v>80</v>
      </c>
      <c r="D17" s="6" t="s">
        <v>95</v>
      </c>
      <c r="E17" s="6" t="s">
        <v>69</v>
      </c>
      <c r="F17" s="6" t="s">
        <v>66</v>
      </c>
      <c r="G17" s="6" t="s">
        <v>63</v>
      </c>
      <c r="H17" s="8" t="n">
        <v>26742</v>
      </c>
      <c r="I17" s="6" t="s">
        <v>96</v>
      </c>
      <c r="J17" s="6" t="s">
        <v>59</v>
      </c>
      <c r="K17" s="6" t="n">
        <v>3</v>
      </c>
      <c r="L17" s="6" t="n">
        <v>4</v>
      </c>
      <c r="M17" s="6" t="s">
        <v>57</v>
      </c>
      <c r="N17" s="6" t="s">
        <v>81</v>
      </c>
      <c r="O17" s="6" t="s">
        <v>82</v>
      </c>
      <c r="P17" s="6" t="s">
        <v>72</v>
      </c>
      <c r="Q17" s="6" t="s">
        <v>57</v>
      </c>
      <c r="R17" s="6" t="s">
        <v>57</v>
      </c>
      <c r="S17" s="6" t="s">
        <v>88</v>
      </c>
      <c r="T17" s="6" t="s">
        <v>57</v>
      </c>
      <c r="U17" s="6" t="s">
        <v>57</v>
      </c>
      <c r="V17" s="6"/>
    </row>
    <row r="18" customFormat="false" ht="15" hidden="false" customHeight="false" outlineLevel="0" collapsed="false">
      <c r="A18" s="6" t="s">
        <v>98</v>
      </c>
      <c r="B18" s="7" t="n">
        <v>46303</v>
      </c>
      <c r="C18" s="6" t="s">
        <v>53</v>
      </c>
      <c r="D18" s="6" t="s">
        <v>95</v>
      </c>
      <c r="E18" s="6" t="s">
        <v>55</v>
      </c>
      <c r="F18" s="6" t="s">
        <v>66</v>
      </c>
      <c r="G18" s="6" t="s">
        <v>63</v>
      </c>
      <c r="H18" s="8" t="n">
        <v>35027</v>
      </c>
      <c r="I18" s="6" t="s">
        <v>96</v>
      </c>
      <c r="J18" s="6" t="s">
        <v>59</v>
      </c>
      <c r="K18" s="6" t="n">
        <v>4</v>
      </c>
      <c r="L18" s="6" t="n">
        <v>5</v>
      </c>
      <c r="M18" s="6" t="s">
        <v>57</v>
      </c>
      <c r="N18" s="6" t="s">
        <v>99</v>
      </c>
      <c r="O18" s="6" t="s">
        <v>100</v>
      </c>
      <c r="P18" s="6" t="s">
        <v>62</v>
      </c>
      <c r="Q18" s="6" t="s">
        <v>57</v>
      </c>
      <c r="R18" s="6" t="s">
        <v>63</v>
      </c>
      <c r="S18" s="6" t="s">
        <v>57</v>
      </c>
      <c r="T18" s="6" t="s">
        <v>57</v>
      </c>
      <c r="U18" s="6" t="s">
        <v>57</v>
      </c>
      <c r="V18" s="6"/>
    </row>
    <row r="19" customFormat="false" ht="15" hidden="false" customHeight="false" outlineLevel="0" collapsed="false">
      <c r="A19" s="6" t="s">
        <v>101</v>
      </c>
      <c r="B19" s="7" t="n">
        <v>46303</v>
      </c>
      <c r="C19" s="6" t="s">
        <v>87</v>
      </c>
      <c r="D19" s="6" t="s">
        <v>95</v>
      </c>
      <c r="E19" s="6" t="s">
        <v>55</v>
      </c>
      <c r="F19" s="6" t="s">
        <v>66</v>
      </c>
      <c r="G19" s="6" t="s">
        <v>63</v>
      </c>
      <c r="H19" s="8" t="n">
        <v>13222</v>
      </c>
      <c r="I19" s="6" t="s">
        <v>96</v>
      </c>
      <c r="J19" s="6" t="s">
        <v>59</v>
      </c>
      <c r="K19" s="6" t="n">
        <v>4</v>
      </c>
      <c r="L19" s="6" t="n">
        <v>5</v>
      </c>
      <c r="M19" s="6" t="s">
        <v>67</v>
      </c>
      <c r="N19" s="6" t="s">
        <v>84</v>
      </c>
      <c r="O19" s="6" t="s">
        <v>85</v>
      </c>
      <c r="P19" s="6" t="s">
        <v>62</v>
      </c>
      <c r="Q19" s="6" t="s">
        <v>57</v>
      </c>
      <c r="R19" s="6" t="s">
        <v>57</v>
      </c>
      <c r="S19" s="6" t="s">
        <v>57</v>
      </c>
      <c r="T19" s="6" t="s">
        <v>57</v>
      </c>
      <c r="U19" s="6" t="s">
        <v>57</v>
      </c>
      <c r="V19" s="6"/>
    </row>
    <row r="20" customFormat="false" ht="15" hidden="false" customHeight="false" outlineLevel="0" collapsed="false">
      <c r="A20" s="6" t="s">
        <v>102</v>
      </c>
      <c r="B20" s="7" t="n">
        <v>46303</v>
      </c>
      <c r="C20" s="6" t="s">
        <v>80</v>
      </c>
      <c r="D20" s="6" t="s">
        <v>103</v>
      </c>
      <c r="E20" s="6" t="s">
        <v>69</v>
      </c>
      <c r="F20" s="6" t="s">
        <v>76</v>
      </c>
      <c r="G20" s="6" t="s">
        <v>63</v>
      </c>
      <c r="H20" s="8" t="n">
        <v>42564</v>
      </c>
      <c r="I20" s="6" t="s">
        <v>96</v>
      </c>
      <c r="J20" s="6" t="s">
        <v>59</v>
      </c>
      <c r="K20" s="6" t="n">
        <v>5</v>
      </c>
      <c r="L20" s="6" t="n">
        <v>5</v>
      </c>
      <c r="M20" s="6" t="s">
        <v>67</v>
      </c>
      <c r="N20" s="6" t="s">
        <v>77</v>
      </c>
      <c r="O20" s="6" t="s">
        <v>78</v>
      </c>
      <c r="P20" s="6" t="s">
        <v>62</v>
      </c>
      <c r="Q20" s="6" t="s">
        <v>57</v>
      </c>
      <c r="R20" s="6" t="s">
        <v>57</v>
      </c>
      <c r="S20" s="6" t="s">
        <v>73</v>
      </c>
      <c r="T20" s="6" t="s">
        <v>63</v>
      </c>
      <c r="U20" s="6" t="s">
        <v>57</v>
      </c>
      <c r="V20" s="6"/>
    </row>
    <row r="21" customFormat="false" ht="15" hidden="false" customHeight="false" outlineLevel="0" collapsed="false">
      <c r="A21" s="6" t="s">
        <v>104</v>
      </c>
      <c r="B21" s="7" t="n">
        <v>46303</v>
      </c>
      <c r="C21" s="6" t="s">
        <v>65</v>
      </c>
      <c r="D21" s="6" t="s">
        <v>103</v>
      </c>
      <c r="E21" s="6" t="s">
        <v>55</v>
      </c>
      <c r="F21" s="6" t="s">
        <v>76</v>
      </c>
      <c r="G21" s="6" t="s">
        <v>63</v>
      </c>
      <c r="H21" s="8" t="n">
        <v>33385</v>
      </c>
      <c r="I21" s="6" t="s">
        <v>96</v>
      </c>
      <c r="J21" s="6" t="s">
        <v>59</v>
      </c>
      <c r="K21" s="6" t="n">
        <v>6</v>
      </c>
      <c r="L21" s="6" t="n">
        <v>4</v>
      </c>
      <c r="M21" s="6" t="s">
        <v>57</v>
      </c>
      <c r="N21" s="6" t="s">
        <v>105</v>
      </c>
      <c r="O21" s="6" t="s">
        <v>106</v>
      </c>
      <c r="P21" s="6" t="s">
        <v>72</v>
      </c>
      <c r="Q21" s="6" t="s">
        <v>57</v>
      </c>
      <c r="R21" s="6" t="s">
        <v>63</v>
      </c>
      <c r="S21" s="6" t="s">
        <v>63</v>
      </c>
      <c r="T21" s="6" t="s">
        <v>57</v>
      </c>
      <c r="U21" s="6" t="s">
        <v>57</v>
      </c>
      <c r="V21" s="6"/>
    </row>
    <row r="22" customFormat="false" ht="15" hidden="false" customHeight="false" outlineLevel="0" collapsed="false">
      <c r="A22" s="6" t="s">
        <v>107</v>
      </c>
      <c r="B22" s="7" t="n">
        <v>46303</v>
      </c>
      <c r="C22" s="6" t="s">
        <v>80</v>
      </c>
      <c r="D22" s="6" t="s">
        <v>103</v>
      </c>
      <c r="E22" s="6" t="s">
        <v>55</v>
      </c>
      <c r="F22" s="6" t="s">
        <v>76</v>
      </c>
      <c r="G22" s="6" t="s">
        <v>63</v>
      </c>
      <c r="H22" s="8" t="n">
        <v>29749</v>
      </c>
      <c r="I22" s="6" t="s">
        <v>96</v>
      </c>
      <c r="J22" s="6" t="s">
        <v>59</v>
      </c>
      <c r="K22" s="6" t="n">
        <v>4</v>
      </c>
      <c r="L22" s="6" t="n">
        <v>4</v>
      </c>
      <c r="M22" s="6" t="s">
        <v>67</v>
      </c>
      <c r="N22" s="6" t="s">
        <v>84</v>
      </c>
      <c r="O22" s="6" t="s">
        <v>85</v>
      </c>
      <c r="P22" s="6" t="s">
        <v>62</v>
      </c>
      <c r="Q22" s="6" t="s">
        <v>57</v>
      </c>
      <c r="R22" s="6" t="s">
        <v>63</v>
      </c>
      <c r="S22" s="6" t="s">
        <v>88</v>
      </c>
      <c r="T22" s="6" t="s">
        <v>57</v>
      </c>
      <c r="U22" s="6" t="s">
        <v>57</v>
      </c>
      <c r="V22" s="6"/>
    </row>
    <row r="23" customFormat="false" ht="15" hidden="false" customHeight="false" outlineLevel="0" collapsed="false">
      <c r="A23" s="6" t="s">
        <v>108</v>
      </c>
      <c r="B23" s="7" t="n">
        <v>46303</v>
      </c>
      <c r="C23" s="6" t="s">
        <v>87</v>
      </c>
      <c r="D23" s="6" t="s">
        <v>103</v>
      </c>
      <c r="E23" s="6" t="s">
        <v>55</v>
      </c>
      <c r="F23" s="6" t="s">
        <v>76</v>
      </c>
      <c r="G23" s="6" t="s">
        <v>63</v>
      </c>
      <c r="H23" s="8" t="n">
        <v>23801</v>
      </c>
      <c r="I23" s="6" t="s">
        <v>109</v>
      </c>
      <c r="J23" s="6" t="s">
        <v>59</v>
      </c>
      <c r="K23" s="6" t="n">
        <v>2</v>
      </c>
      <c r="L23" s="6" t="n">
        <v>3</v>
      </c>
      <c r="M23" s="6" t="s">
        <v>57</v>
      </c>
      <c r="N23" s="6" t="s">
        <v>110</v>
      </c>
      <c r="O23" s="6" t="s">
        <v>111</v>
      </c>
      <c r="P23" s="6" t="s">
        <v>62</v>
      </c>
      <c r="Q23" s="6" t="s">
        <v>57</v>
      </c>
      <c r="R23" s="6" t="s">
        <v>63</v>
      </c>
      <c r="S23" s="6" t="s">
        <v>57</v>
      </c>
      <c r="T23" s="6" t="s">
        <v>63</v>
      </c>
      <c r="U23" s="6" t="s">
        <v>57</v>
      </c>
      <c r="V23" s="6"/>
    </row>
    <row r="24" customFormat="false" ht="15" hidden="false" customHeight="false" outlineLevel="0" collapsed="false">
      <c r="A24" s="6" t="s">
        <v>112</v>
      </c>
      <c r="B24" s="7" t="n">
        <v>46303</v>
      </c>
      <c r="C24" s="6" t="s">
        <v>53</v>
      </c>
      <c r="D24" s="6" t="s">
        <v>113</v>
      </c>
      <c r="E24" s="6" t="s">
        <v>69</v>
      </c>
      <c r="F24" s="6" t="s">
        <v>66</v>
      </c>
      <c r="G24" s="6" t="s">
        <v>63</v>
      </c>
      <c r="H24" s="8" t="n">
        <v>6669</v>
      </c>
      <c r="I24" s="6" t="s">
        <v>109</v>
      </c>
      <c r="J24" s="6" t="s">
        <v>59</v>
      </c>
      <c r="K24" s="6" t="n">
        <v>3</v>
      </c>
      <c r="L24" s="6" t="n">
        <v>5</v>
      </c>
      <c r="M24" s="6" t="s">
        <v>67</v>
      </c>
      <c r="N24" s="6" t="s">
        <v>77</v>
      </c>
      <c r="O24" s="6" t="s">
        <v>78</v>
      </c>
      <c r="P24" s="6" t="s">
        <v>62</v>
      </c>
      <c r="Q24" s="6" t="s">
        <v>57</v>
      </c>
      <c r="R24" s="6" t="s">
        <v>63</v>
      </c>
      <c r="S24" s="6" t="s">
        <v>63</v>
      </c>
      <c r="T24" s="6" t="s">
        <v>63</v>
      </c>
      <c r="U24" s="6" t="s">
        <v>57</v>
      </c>
      <c r="V24" s="6"/>
    </row>
    <row r="25" customFormat="false" ht="15" hidden="false" customHeight="false" outlineLevel="0" collapsed="false">
      <c r="A25" s="6" t="s">
        <v>114</v>
      </c>
      <c r="B25" s="7" t="n">
        <v>46303</v>
      </c>
      <c r="C25" s="6" t="s">
        <v>65</v>
      </c>
      <c r="D25" s="6" t="s">
        <v>113</v>
      </c>
      <c r="E25" s="6" t="s">
        <v>55</v>
      </c>
      <c r="F25" s="6" t="s">
        <v>56</v>
      </c>
      <c r="G25" s="6" t="s">
        <v>63</v>
      </c>
      <c r="H25" s="8" t="n">
        <v>3220</v>
      </c>
      <c r="I25" s="6" t="s">
        <v>109</v>
      </c>
      <c r="J25" s="6" t="s">
        <v>59</v>
      </c>
      <c r="K25" s="6" t="n">
        <v>4</v>
      </c>
      <c r="L25" s="6" t="n">
        <v>5</v>
      </c>
      <c r="M25" s="6" t="s">
        <v>67</v>
      </c>
      <c r="N25" s="6" t="s">
        <v>77</v>
      </c>
      <c r="O25" s="6" t="s">
        <v>78</v>
      </c>
      <c r="P25" s="6" t="s">
        <v>72</v>
      </c>
      <c r="Q25" s="6" t="s">
        <v>57</v>
      </c>
      <c r="R25" s="6" t="s">
        <v>63</v>
      </c>
      <c r="S25" s="6" t="s">
        <v>88</v>
      </c>
      <c r="T25" s="6" t="s">
        <v>63</v>
      </c>
      <c r="U25" s="6" t="s">
        <v>57</v>
      </c>
      <c r="V25" s="6"/>
    </row>
    <row r="26" customFormat="false" ht="15" hidden="false" customHeight="false" outlineLevel="0" collapsed="false">
      <c r="A26" s="6" t="s">
        <v>115</v>
      </c>
      <c r="B26" s="7" t="n">
        <v>46303</v>
      </c>
      <c r="C26" s="6" t="s">
        <v>116</v>
      </c>
      <c r="D26" s="6" t="s">
        <v>113</v>
      </c>
      <c r="E26" s="6" t="s">
        <v>55</v>
      </c>
      <c r="F26" s="6" t="s">
        <v>66</v>
      </c>
      <c r="G26" s="6" t="s">
        <v>63</v>
      </c>
      <c r="H26" s="8" t="n">
        <v>21981</v>
      </c>
      <c r="I26" s="6" t="s">
        <v>117</v>
      </c>
      <c r="J26" s="6" t="s">
        <v>59</v>
      </c>
      <c r="K26" s="6" t="n">
        <v>2</v>
      </c>
      <c r="L26" s="6" t="n">
        <v>5</v>
      </c>
      <c r="M26" s="6" t="s">
        <v>67</v>
      </c>
      <c r="N26" s="6" t="s">
        <v>110</v>
      </c>
      <c r="O26" s="6" t="s">
        <v>111</v>
      </c>
      <c r="P26" s="6" t="s">
        <v>62</v>
      </c>
      <c r="Q26" s="6" t="s">
        <v>57</v>
      </c>
      <c r="R26" s="6" t="s">
        <v>63</v>
      </c>
      <c r="S26" s="6" t="s">
        <v>63</v>
      </c>
      <c r="T26" s="6" t="s">
        <v>63</v>
      </c>
      <c r="U26" s="6" t="s">
        <v>57</v>
      </c>
      <c r="V26" s="6"/>
    </row>
    <row r="27" customFormat="false" ht="15" hidden="false" customHeight="false" outlineLevel="0" collapsed="false">
      <c r="A27" s="6"/>
      <c r="B27" s="7"/>
      <c r="C27" s="6"/>
      <c r="D27" s="6"/>
      <c r="E27" s="6"/>
      <c r="F27" s="6"/>
      <c r="G27" s="6"/>
      <c r="H27" s="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customFormat="false" ht="15" hidden="false" customHeight="false" outlineLevel="0" collapsed="false">
      <c r="A28" s="6"/>
      <c r="B28" s="7"/>
      <c r="C28" s="6"/>
      <c r="D28" s="6"/>
      <c r="E28" s="6"/>
      <c r="F28" s="6"/>
      <c r="G28" s="6"/>
      <c r="H28" s="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customFormat="false" ht="15" hidden="false" customHeight="false" outlineLevel="0" collapsed="false">
      <c r="A29" s="6"/>
      <c r="B29" s="7"/>
      <c r="C29" s="6"/>
      <c r="D29" s="6"/>
      <c r="E29" s="6"/>
      <c r="F29" s="6"/>
      <c r="G29" s="6"/>
      <c r="H29" s="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customFormat="false" ht="15" hidden="false" customHeight="false" outlineLevel="0" collapsed="false">
      <c r="A30" s="6"/>
      <c r="B30" s="7"/>
      <c r="C30" s="6"/>
      <c r="D30" s="6"/>
      <c r="E30" s="6"/>
      <c r="F30" s="6"/>
      <c r="G30" s="6"/>
      <c r="H30" s="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customFormat="false" ht="15" hidden="false" customHeight="false" outlineLevel="0" collapsed="false">
      <c r="A31" s="6"/>
      <c r="B31" s="7"/>
      <c r="C31" s="6"/>
      <c r="D31" s="6"/>
      <c r="E31" s="6"/>
      <c r="F31" s="6"/>
      <c r="G31" s="6"/>
      <c r="H31" s="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customFormat="false" ht="15" hidden="false" customHeight="false" outlineLevel="0" collapsed="false">
      <c r="A32" s="6"/>
      <c r="B32" s="7"/>
      <c r="C32" s="6"/>
      <c r="D32" s="6"/>
      <c r="E32" s="6"/>
      <c r="F32" s="6"/>
      <c r="G32" s="6"/>
      <c r="H32" s="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customFormat="false" ht="15" hidden="false" customHeight="false" outlineLevel="0" collapsed="false">
      <c r="A33" s="6"/>
      <c r="B33" s="7"/>
      <c r="C33" s="6"/>
      <c r="D33" s="6"/>
      <c r="E33" s="6"/>
      <c r="F33" s="6"/>
      <c r="G33" s="6"/>
      <c r="H33" s="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customFormat="false" ht="15" hidden="false" customHeight="false" outlineLevel="0" collapsed="false">
      <c r="A34" s="6"/>
      <c r="B34" s="7"/>
      <c r="C34" s="6"/>
      <c r="D34" s="6"/>
      <c r="E34" s="6"/>
      <c r="F34" s="6"/>
      <c r="G34" s="6"/>
      <c r="H34" s="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customFormat="false" ht="15" hidden="false" customHeight="false" outlineLevel="0" collapsed="false">
      <c r="A35" s="6"/>
      <c r="B35" s="7"/>
      <c r="C35" s="6"/>
      <c r="D35" s="6"/>
      <c r="E35" s="6"/>
      <c r="F35" s="6"/>
      <c r="G35" s="6"/>
      <c r="H35" s="8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customFormat="false" ht="15" hidden="false" customHeight="false" outlineLevel="0" collapsed="false">
      <c r="A36" s="6"/>
      <c r="B36" s="7"/>
      <c r="C36" s="6"/>
      <c r="D36" s="6"/>
      <c r="E36" s="6"/>
      <c r="F36" s="6"/>
      <c r="G36" s="6"/>
      <c r="H36" s="8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customFormat="false" ht="15" hidden="false" customHeight="false" outlineLevel="0" collapsed="false">
      <c r="A37" s="6"/>
      <c r="B37" s="7"/>
      <c r="C37" s="6"/>
      <c r="D37" s="6"/>
      <c r="E37" s="6"/>
      <c r="F37" s="6"/>
      <c r="G37" s="6"/>
      <c r="H37" s="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customFormat="false" ht="15" hidden="false" customHeight="false" outlineLevel="0" collapsed="false">
      <c r="A38" s="6"/>
      <c r="B38" s="7"/>
      <c r="C38" s="6"/>
      <c r="D38" s="6"/>
      <c r="E38" s="6"/>
      <c r="F38" s="6"/>
      <c r="G38" s="6"/>
      <c r="H38" s="8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customFormat="false" ht="15" hidden="false" customHeight="false" outlineLevel="0" collapsed="false">
      <c r="A39" s="6"/>
      <c r="B39" s="7"/>
      <c r="C39" s="6"/>
      <c r="D39" s="6"/>
      <c r="E39" s="6"/>
      <c r="F39" s="6"/>
      <c r="G39" s="6"/>
      <c r="H39" s="8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customFormat="false" ht="15" hidden="false" customHeight="false" outlineLevel="0" collapsed="false">
      <c r="A40" s="6"/>
      <c r="B40" s="7"/>
      <c r="C40" s="6"/>
      <c r="D40" s="6"/>
      <c r="E40" s="6"/>
      <c r="F40" s="6"/>
      <c r="G40" s="6"/>
      <c r="H40" s="8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customFormat="false" ht="15" hidden="false" customHeight="false" outlineLevel="0" collapsed="false">
      <c r="A41" s="6"/>
      <c r="B41" s="7"/>
      <c r="C41" s="6"/>
      <c r="D41" s="6"/>
      <c r="E41" s="6"/>
      <c r="F41" s="6"/>
      <c r="G41" s="6"/>
      <c r="H41" s="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customFormat="false" ht="15" hidden="false" customHeight="false" outlineLevel="0" collapsed="false">
      <c r="A42" s="6"/>
      <c r="B42" s="7"/>
      <c r="C42" s="6"/>
      <c r="D42" s="6"/>
      <c r="E42" s="6"/>
      <c r="F42" s="6"/>
      <c r="G42" s="6"/>
      <c r="H42" s="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customFormat="false" ht="15" hidden="false" customHeight="false" outlineLevel="0" collapsed="false">
      <c r="A43" s="6"/>
      <c r="B43" s="7"/>
      <c r="C43" s="6"/>
      <c r="D43" s="6"/>
      <c r="E43" s="6"/>
      <c r="F43" s="6"/>
      <c r="G43" s="6"/>
      <c r="H43" s="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customFormat="false" ht="15" hidden="false" customHeight="false" outlineLevel="0" collapsed="false">
      <c r="A44" s="6"/>
      <c r="B44" s="7"/>
      <c r="C44" s="6"/>
      <c r="D44" s="6"/>
      <c r="E44" s="6"/>
      <c r="F44" s="6"/>
      <c r="G44" s="6"/>
      <c r="H44" s="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customFormat="false" ht="15" hidden="false" customHeight="false" outlineLevel="0" collapsed="false">
      <c r="A45" s="6"/>
      <c r="B45" s="7"/>
      <c r="C45" s="6"/>
      <c r="D45" s="6"/>
      <c r="E45" s="6"/>
      <c r="F45" s="6"/>
      <c r="G45" s="6"/>
      <c r="H45" s="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customFormat="false" ht="15" hidden="false" customHeight="false" outlineLevel="0" collapsed="false">
      <c r="A46" s="6"/>
      <c r="B46" s="7"/>
      <c r="C46" s="6"/>
      <c r="D46" s="6"/>
      <c r="E46" s="6"/>
      <c r="F46" s="6"/>
      <c r="G46" s="6"/>
      <c r="H46" s="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customFormat="false" ht="15" hidden="false" customHeight="false" outlineLevel="0" collapsed="false">
      <c r="A47" s="6"/>
      <c r="B47" s="7"/>
      <c r="C47" s="6"/>
      <c r="D47" s="6"/>
      <c r="E47" s="6"/>
      <c r="F47" s="6"/>
      <c r="G47" s="6"/>
      <c r="H47" s="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customFormat="false" ht="15" hidden="false" customHeight="false" outlineLevel="0" collapsed="false">
      <c r="A48" s="6"/>
      <c r="B48" s="7"/>
      <c r="C48" s="6"/>
      <c r="D48" s="6"/>
      <c r="E48" s="6"/>
      <c r="F48" s="6"/>
      <c r="G48" s="6"/>
      <c r="H48" s="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customFormat="false" ht="15" hidden="false" customHeight="false" outlineLevel="0" collapsed="false">
      <c r="A49" s="6"/>
      <c r="B49" s="7"/>
      <c r="C49" s="6"/>
      <c r="D49" s="6"/>
      <c r="E49" s="6"/>
      <c r="F49" s="6"/>
      <c r="G49" s="6"/>
      <c r="H49" s="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customFormat="false" ht="15" hidden="false" customHeight="false" outlineLevel="0" collapsed="false">
      <c r="A50" s="6"/>
      <c r="B50" s="7"/>
      <c r="C50" s="6"/>
      <c r="D50" s="6"/>
      <c r="E50" s="6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customFormat="false" ht="15" hidden="false" customHeight="false" outlineLevel="0" collapsed="false">
      <c r="A51" s="6"/>
      <c r="B51" s="7"/>
      <c r="C51" s="6"/>
      <c r="D51" s="6"/>
      <c r="E51" s="6"/>
      <c r="F51" s="6"/>
      <c r="G51" s="6"/>
      <c r="H51" s="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customFormat="false" ht="15" hidden="false" customHeight="false" outlineLevel="0" collapsed="false">
      <c r="A52" s="6"/>
      <c r="B52" s="7"/>
      <c r="C52" s="6"/>
      <c r="D52" s="6"/>
      <c r="E52" s="6"/>
      <c r="F52" s="6"/>
      <c r="G52" s="6"/>
      <c r="H52" s="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customFormat="false" ht="15" hidden="false" customHeight="false" outlineLevel="0" collapsed="false">
      <c r="A53" s="6"/>
      <c r="B53" s="7"/>
      <c r="C53" s="6"/>
      <c r="D53" s="6"/>
      <c r="E53" s="6"/>
      <c r="F53" s="6"/>
      <c r="G53" s="6"/>
      <c r="H53" s="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customFormat="false" ht="15" hidden="false" customHeight="false" outlineLevel="0" collapsed="false">
      <c r="A54" s="6"/>
      <c r="B54" s="7"/>
      <c r="C54" s="6"/>
      <c r="D54" s="6"/>
      <c r="E54" s="6"/>
      <c r="F54" s="6"/>
      <c r="G54" s="6"/>
      <c r="H54" s="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customFormat="false" ht="15" hidden="false" customHeight="false" outlineLevel="0" collapsed="false">
      <c r="A55" s="6"/>
      <c r="B55" s="7"/>
      <c r="C55" s="6"/>
      <c r="D55" s="6"/>
      <c r="E55" s="6"/>
      <c r="F55" s="6"/>
      <c r="G55" s="6"/>
      <c r="H55" s="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customFormat="false" ht="15" hidden="false" customHeight="false" outlineLevel="0" collapsed="false">
      <c r="A56" s="6"/>
      <c r="B56" s="7"/>
      <c r="C56" s="6"/>
      <c r="D56" s="6"/>
      <c r="E56" s="6"/>
      <c r="F56" s="6"/>
      <c r="G56" s="6"/>
      <c r="H56" s="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customFormat="false" ht="15" hidden="false" customHeight="false" outlineLevel="0" collapsed="false">
      <c r="A57" s="6"/>
      <c r="B57" s="7"/>
      <c r="C57" s="6"/>
      <c r="D57" s="6"/>
      <c r="E57" s="6"/>
      <c r="F57" s="6"/>
      <c r="G57" s="6"/>
      <c r="H57" s="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customFormat="false" ht="15" hidden="false" customHeight="false" outlineLevel="0" collapsed="false">
      <c r="A58" s="6"/>
      <c r="B58" s="7"/>
      <c r="C58" s="6"/>
      <c r="D58" s="6"/>
      <c r="E58" s="6"/>
      <c r="F58" s="6"/>
      <c r="G58" s="6"/>
      <c r="H58" s="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customFormat="false" ht="15" hidden="false" customHeight="false" outlineLevel="0" collapsed="false">
      <c r="A59" s="6"/>
      <c r="B59" s="7"/>
      <c r="C59" s="6"/>
      <c r="D59" s="6"/>
      <c r="E59" s="6"/>
      <c r="F59" s="6"/>
      <c r="G59" s="6"/>
      <c r="H59" s="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customFormat="false" ht="15" hidden="false" customHeight="false" outlineLevel="0" collapsed="false">
      <c r="A60" s="6"/>
      <c r="B60" s="7"/>
      <c r="C60" s="6"/>
      <c r="D60" s="6"/>
      <c r="E60" s="6"/>
      <c r="F60" s="6"/>
      <c r="G60" s="6"/>
      <c r="H60" s="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customFormat="false" ht="15" hidden="false" customHeight="false" outlineLevel="0" collapsed="false">
      <c r="A61" s="6"/>
      <c r="B61" s="7"/>
      <c r="C61" s="6"/>
      <c r="D61" s="6"/>
      <c r="E61" s="6"/>
      <c r="F61" s="6"/>
      <c r="G61" s="6"/>
      <c r="H61" s="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customFormat="false" ht="15" hidden="false" customHeight="false" outlineLevel="0" collapsed="false">
      <c r="A62" s="6"/>
      <c r="B62" s="7"/>
      <c r="C62" s="6"/>
      <c r="D62" s="6"/>
      <c r="E62" s="6"/>
      <c r="F62" s="6"/>
      <c r="G62" s="6"/>
      <c r="H62" s="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customFormat="false" ht="15" hidden="false" customHeight="false" outlineLevel="0" collapsed="false">
      <c r="A63" s="6"/>
      <c r="B63" s="7"/>
      <c r="C63" s="6"/>
      <c r="D63" s="6"/>
      <c r="E63" s="6"/>
      <c r="F63" s="6"/>
      <c r="G63" s="6"/>
      <c r="H63" s="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customFormat="false" ht="15" hidden="false" customHeight="false" outlineLevel="0" collapsed="false">
      <c r="A64" s="6"/>
      <c r="B64" s="7"/>
      <c r="C64" s="6"/>
      <c r="D64" s="6"/>
      <c r="E64" s="6"/>
      <c r="F64" s="6"/>
      <c r="G64" s="6"/>
      <c r="H64" s="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customFormat="false" ht="15" hidden="false" customHeight="false" outlineLevel="0" collapsed="false">
      <c r="A65" s="6"/>
      <c r="B65" s="7"/>
      <c r="C65" s="6"/>
      <c r="D65" s="6"/>
      <c r="E65" s="6"/>
      <c r="F65" s="6"/>
      <c r="G65" s="6"/>
      <c r="H65" s="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customFormat="false" ht="15" hidden="false" customHeight="false" outlineLevel="0" collapsed="false">
      <c r="A66" s="6"/>
      <c r="B66" s="7"/>
      <c r="C66" s="6"/>
      <c r="D66" s="6"/>
      <c r="E66" s="6"/>
      <c r="F66" s="6"/>
      <c r="G66" s="6"/>
      <c r="H66" s="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customFormat="false" ht="15" hidden="false" customHeight="false" outlineLevel="0" collapsed="false">
      <c r="A67" s="6"/>
      <c r="B67" s="7"/>
      <c r="C67" s="6"/>
      <c r="D67" s="6"/>
      <c r="E67" s="6"/>
      <c r="F67" s="6"/>
      <c r="G67" s="6"/>
      <c r="H67" s="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customFormat="false" ht="15" hidden="false" customHeight="false" outlineLevel="0" collapsed="false">
      <c r="A68" s="6"/>
      <c r="B68" s="7"/>
      <c r="C68" s="6"/>
      <c r="D68" s="6"/>
      <c r="E68" s="6"/>
      <c r="F68" s="6"/>
      <c r="G68" s="6"/>
      <c r="H68" s="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customFormat="false" ht="15" hidden="false" customHeight="false" outlineLevel="0" collapsed="false">
      <c r="A69" s="6"/>
      <c r="B69" s="7"/>
      <c r="C69" s="6"/>
      <c r="D69" s="6"/>
      <c r="E69" s="6"/>
      <c r="F69" s="6"/>
      <c r="G69" s="6"/>
      <c r="H69" s="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customFormat="false" ht="15" hidden="false" customHeight="false" outlineLevel="0" collapsed="false">
      <c r="A70" s="6"/>
      <c r="B70" s="7"/>
      <c r="C70" s="6"/>
      <c r="D70" s="6"/>
      <c r="E70" s="6"/>
      <c r="F70" s="6"/>
      <c r="G70" s="6"/>
      <c r="H70" s="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customFormat="false" ht="15" hidden="false" customHeight="false" outlineLevel="0" collapsed="false">
      <c r="A71" s="6"/>
      <c r="B71" s="7"/>
      <c r="C71" s="6"/>
      <c r="D71" s="6"/>
      <c r="E71" s="6"/>
      <c r="F71" s="6"/>
      <c r="G71" s="6"/>
      <c r="H71" s="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customFormat="false" ht="15" hidden="false" customHeight="false" outlineLevel="0" collapsed="false">
      <c r="A72" s="6"/>
      <c r="B72" s="7"/>
      <c r="C72" s="6"/>
      <c r="D72" s="6"/>
      <c r="E72" s="6"/>
      <c r="F72" s="6"/>
      <c r="G72" s="6"/>
      <c r="H72" s="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customFormat="false" ht="15" hidden="false" customHeight="false" outlineLevel="0" collapsed="false">
      <c r="A73" s="6"/>
      <c r="B73" s="7"/>
      <c r="C73" s="6"/>
      <c r="D73" s="6"/>
      <c r="E73" s="6"/>
      <c r="F73" s="6"/>
      <c r="G73" s="6"/>
      <c r="H73" s="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customFormat="false" ht="15" hidden="false" customHeight="false" outlineLevel="0" collapsed="false">
      <c r="A74" s="6"/>
      <c r="B74" s="7"/>
      <c r="C74" s="6"/>
      <c r="D74" s="6"/>
      <c r="E74" s="6"/>
      <c r="F74" s="6"/>
      <c r="G74" s="6"/>
      <c r="H74" s="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customFormat="false" ht="15" hidden="false" customHeight="false" outlineLevel="0" collapsed="false">
      <c r="A75" s="6"/>
      <c r="B75" s="7"/>
      <c r="C75" s="6"/>
      <c r="D75" s="6"/>
      <c r="E75" s="6"/>
      <c r="F75" s="6"/>
      <c r="G75" s="6"/>
      <c r="H75" s="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customFormat="false" ht="15" hidden="false" customHeight="false" outlineLevel="0" collapsed="false">
      <c r="A76" s="6"/>
      <c r="B76" s="7"/>
      <c r="C76" s="6"/>
      <c r="D76" s="6"/>
      <c r="E76" s="6"/>
      <c r="F76" s="6"/>
      <c r="G76" s="6"/>
      <c r="H76" s="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customFormat="false" ht="15" hidden="false" customHeight="false" outlineLevel="0" collapsed="false">
      <c r="A77" s="6"/>
      <c r="B77" s="7"/>
      <c r="C77" s="6"/>
      <c r="D77" s="6"/>
      <c r="E77" s="6"/>
      <c r="F77" s="6"/>
      <c r="G77" s="6"/>
      <c r="H77" s="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customFormat="false" ht="15" hidden="false" customHeight="false" outlineLevel="0" collapsed="false">
      <c r="A78" s="6"/>
      <c r="B78" s="7"/>
      <c r="C78" s="6"/>
      <c r="D78" s="6"/>
      <c r="E78" s="6"/>
      <c r="F78" s="6"/>
      <c r="G78" s="6"/>
      <c r="H78" s="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customFormat="false" ht="15" hidden="false" customHeight="false" outlineLevel="0" collapsed="false">
      <c r="A79" s="6"/>
      <c r="B79" s="7"/>
      <c r="C79" s="6"/>
      <c r="D79" s="6"/>
      <c r="E79" s="6"/>
      <c r="F79" s="6"/>
      <c r="G79" s="6"/>
      <c r="H79" s="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customFormat="false" ht="15" hidden="false" customHeight="false" outlineLevel="0" collapsed="false">
      <c r="A80" s="6"/>
      <c r="B80" s="7"/>
      <c r="C80" s="6"/>
      <c r="D80" s="6"/>
      <c r="E80" s="6"/>
      <c r="F80" s="6"/>
      <c r="G80" s="6"/>
      <c r="H80" s="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customFormat="false" ht="15" hidden="false" customHeight="false" outlineLevel="0" collapsed="false">
      <c r="A81" s="6"/>
      <c r="B81" s="7"/>
      <c r="C81" s="6"/>
      <c r="D81" s="6"/>
      <c r="E81" s="6"/>
      <c r="F81" s="6"/>
      <c r="G81" s="6"/>
      <c r="H81" s="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customFormat="false" ht="15" hidden="false" customHeight="false" outlineLevel="0" collapsed="false">
      <c r="A82" s="6"/>
      <c r="B82" s="7"/>
      <c r="C82" s="6"/>
      <c r="D82" s="6"/>
      <c r="E82" s="6"/>
      <c r="F82" s="6"/>
      <c r="G82" s="6"/>
      <c r="H82" s="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customFormat="false" ht="15" hidden="false" customHeight="false" outlineLevel="0" collapsed="false">
      <c r="A83" s="6"/>
      <c r="B83" s="7"/>
      <c r="C83" s="6"/>
      <c r="D83" s="6"/>
      <c r="E83" s="6"/>
      <c r="F83" s="6"/>
      <c r="G83" s="6"/>
      <c r="H83" s="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customFormat="false" ht="15" hidden="false" customHeight="false" outlineLevel="0" collapsed="false">
      <c r="A84" s="6"/>
      <c r="B84" s="7"/>
      <c r="C84" s="6"/>
      <c r="D84" s="6"/>
      <c r="E84" s="6"/>
      <c r="F84" s="6"/>
      <c r="G84" s="6"/>
      <c r="H84" s="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customFormat="false" ht="15" hidden="false" customHeight="false" outlineLevel="0" collapsed="false">
      <c r="A85" s="6"/>
      <c r="B85" s="7"/>
      <c r="C85" s="6"/>
      <c r="D85" s="6"/>
      <c r="E85" s="6"/>
      <c r="F85" s="6"/>
      <c r="G85" s="6"/>
      <c r="H85" s="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customFormat="false" ht="15" hidden="false" customHeight="false" outlineLevel="0" collapsed="false">
      <c r="A86" s="6"/>
      <c r="B86" s="7"/>
      <c r="C86" s="6"/>
      <c r="D86" s="6"/>
      <c r="E86" s="6"/>
      <c r="F86" s="6"/>
      <c r="G86" s="6"/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customFormat="false" ht="15" hidden="false" customHeight="false" outlineLevel="0" collapsed="false">
      <c r="A87" s="6"/>
      <c r="B87" s="7"/>
      <c r="C87" s="6"/>
      <c r="D87" s="6"/>
      <c r="E87" s="6"/>
      <c r="F87" s="6"/>
      <c r="G87" s="6"/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customFormat="false" ht="15" hidden="false" customHeight="false" outlineLevel="0" collapsed="false">
      <c r="A88" s="6"/>
      <c r="B88" s="7"/>
      <c r="C88" s="6"/>
      <c r="D88" s="6"/>
      <c r="E88" s="6"/>
      <c r="F88" s="6"/>
      <c r="G88" s="6"/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customFormat="false" ht="15" hidden="false" customHeight="false" outlineLevel="0" collapsed="false">
      <c r="A89" s="6"/>
      <c r="B89" s="7"/>
      <c r="C89" s="6"/>
      <c r="D89" s="6"/>
      <c r="E89" s="6"/>
      <c r="F89" s="6"/>
      <c r="G89" s="6"/>
      <c r="H89" s="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customFormat="false" ht="15" hidden="false" customHeight="false" outlineLevel="0" collapsed="false">
      <c r="A90" s="6"/>
      <c r="B90" s="7"/>
      <c r="C90" s="6"/>
      <c r="D90" s="6"/>
      <c r="E90" s="6"/>
      <c r="F90" s="6"/>
      <c r="G90" s="6"/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customFormat="false" ht="15" hidden="false" customHeight="false" outlineLevel="0" collapsed="false">
      <c r="A91" s="6"/>
      <c r="B91" s="7"/>
      <c r="C91" s="6"/>
      <c r="D91" s="6"/>
      <c r="E91" s="6"/>
      <c r="F91" s="6"/>
      <c r="G91" s="6"/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customFormat="false" ht="15" hidden="false" customHeight="false" outlineLevel="0" collapsed="false">
      <c r="A92" s="6"/>
      <c r="B92" s="7"/>
      <c r="C92" s="6"/>
      <c r="D92" s="6"/>
      <c r="E92" s="6"/>
      <c r="F92" s="6"/>
      <c r="G92" s="6"/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customFormat="false" ht="15" hidden="false" customHeight="false" outlineLevel="0" collapsed="false">
      <c r="A93" s="6"/>
      <c r="B93" s="7"/>
      <c r="C93" s="6"/>
      <c r="D93" s="6"/>
      <c r="E93" s="6"/>
      <c r="F93" s="6"/>
      <c r="G93" s="6"/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customFormat="false" ht="15" hidden="false" customHeight="false" outlineLevel="0" collapsed="false">
      <c r="A94" s="6"/>
      <c r="B94" s="7"/>
      <c r="C94" s="6"/>
      <c r="D94" s="6"/>
      <c r="E94" s="6"/>
      <c r="F94" s="6"/>
      <c r="G94" s="6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customFormat="false" ht="15" hidden="false" customHeight="false" outlineLevel="0" collapsed="false">
      <c r="A95" s="6"/>
      <c r="B95" s="7"/>
      <c r="C95" s="6"/>
      <c r="D95" s="6"/>
      <c r="E95" s="6"/>
      <c r="F95" s="6"/>
      <c r="G95" s="6"/>
      <c r="H95" s="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customFormat="false" ht="15" hidden="false" customHeight="false" outlineLevel="0" collapsed="false">
      <c r="A96" s="6"/>
      <c r="B96" s="7"/>
      <c r="C96" s="6"/>
      <c r="D96" s="6"/>
      <c r="E96" s="6"/>
      <c r="F96" s="6"/>
      <c r="G96" s="6"/>
      <c r="H96" s="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customFormat="false" ht="15" hidden="false" customHeight="false" outlineLevel="0" collapsed="false">
      <c r="A97" s="6"/>
      <c r="B97" s="7"/>
      <c r="C97" s="6"/>
      <c r="D97" s="6"/>
      <c r="E97" s="6"/>
      <c r="F97" s="6"/>
      <c r="G97" s="6"/>
      <c r="H97" s="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customFormat="false" ht="15" hidden="false" customHeight="false" outlineLevel="0" collapsed="false">
      <c r="A98" s="6"/>
      <c r="B98" s="7"/>
      <c r="C98" s="6"/>
      <c r="D98" s="6"/>
      <c r="E98" s="6"/>
      <c r="F98" s="6"/>
      <c r="G98" s="6"/>
      <c r="H98" s="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customFormat="false" ht="15" hidden="false" customHeight="false" outlineLevel="0" collapsed="false">
      <c r="A99" s="6"/>
      <c r="B99" s="7"/>
      <c r="C99" s="6"/>
      <c r="D99" s="6"/>
      <c r="E99" s="6"/>
      <c r="F99" s="6"/>
      <c r="G99" s="6"/>
      <c r="H99" s="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customFormat="false" ht="15" hidden="false" customHeight="false" outlineLevel="0" collapsed="false">
      <c r="A100" s="6"/>
      <c r="B100" s="7"/>
      <c r="C100" s="6"/>
      <c r="D100" s="6"/>
      <c r="E100" s="6"/>
      <c r="F100" s="6"/>
      <c r="G100" s="6"/>
      <c r="H100" s="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customFormat="false" ht="15" hidden="false" customHeight="false" outlineLevel="0" collapsed="false">
      <c r="A101" s="6"/>
      <c r="B101" s="7"/>
      <c r="C101" s="6"/>
      <c r="D101" s="6"/>
      <c r="E101" s="6"/>
      <c r="F101" s="6"/>
      <c r="G101" s="6"/>
      <c r="H101" s="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customFormat="false" ht="15" hidden="false" customHeight="false" outlineLevel="0" collapsed="false">
      <c r="A102" s="6"/>
      <c r="B102" s="7"/>
      <c r="C102" s="6"/>
      <c r="D102" s="6"/>
      <c r="E102" s="6"/>
      <c r="F102" s="6"/>
      <c r="G102" s="6"/>
      <c r="H102" s="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customFormat="false" ht="15" hidden="false" customHeight="false" outlineLevel="0" collapsed="false">
      <c r="A103" s="6"/>
      <c r="B103" s="7"/>
      <c r="C103" s="6"/>
      <c r="D103" s="6"/>
      <c r="E103" s="6"/>
      <c r="F103" s="6"/>
      <c r="G103" s="6"/>
      <c r="H103" s="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customFormat="false" ht="15" hidden="false" customHeight="false" outlineLevel="0" collapsed="false">
      <c r="A104" s="6"/>
      <c r="B104" s="7"/>
      <c r="C104" s="6"/>
      <c r="D104" s="6"/>
      <c r="E104" s="6"/>
      <c r="F104" s="6"/>
      <c r="G104" s="6"/>
      <c r="H104" s="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customFormat="false" ht="15" hidden="false" customHeight="false" outlineLevel="0" collapsed="false">
      <c r="A105" s="6"/>
      <c r="B105" s="7"/>
      <c r="C105" s="6"/>
      <c r="D105" s="6"/>
      <c r="E105" s="6"/>
      <c r="F105" s="6"/>
      <c r="G105" s="6"/>
      <c r="H105" s="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</sheetData>
  <dataValidations count="15">
    <dataValidation allowBlank="true" errorStyle="stop" operator="between" showDropDown="false" showErrorMessage="false" showInputMessage="false" sqref="D6:D105" type="list">
      <formula1>"Kirana / grocery,General / FMCG store,Pharmacy / chemist,Dairy / bakery / sweets,Restaurant / dhaba / canteen,Hardware / paint / sanitary,Mobile / electronics,Stationery / books,Clothing / footwear,Other"</formula1>
      <formula2>0</formula2>
    </dataValidation>
    <dataValidation allowBlank="true" errorStyle="stop" operator="between" showDropDown="false" showErrorMessage="false" showInputMessage="false" sqref="E6:E105" type="list">
      <formula1>"Owner,Family member / partner,Manager who pays suppliers"</formula1>
      <formula2>0</formula2>
    </dataValidation>
    <dataValidation allowBlank="true" errorStyle="stop" operator="between" showDropDown="false" showErrorMessage="false" showInputMessage="false" sqref="F6:F105" type="list">
      <formula1>"Paytm Soundbox,Paytm QR only,Paytm + other QR"</formula1>
      <formula2>0</formula2>
    </dataValidation>
    <dataValidation allowBlank="true" errorStyle="stop" operator="between" showDropDown="false" showErrorMessage="false" showInputMessage="false" sqref="G6:G105" type="list">
      <formula1>"Yes,No"</formula1>
      <formula2>0</formula2>
    </dataValidation>
    <dataValidation allowBlank="true" errorStyle="stop" operator="between" showDropDown="false" showErrorMessage="false" showInputMessage="false" sqref="I6:I105" type="list">
      <formula1>"PhonePe,Google Pay,Paytm,BHIM,Bank app,Cash,NEFT / RTGS,Other"</formula1>
      <formula2>0</formula2>
    </dataValidation>
    <dataValidation allowBlank="true" errorStyle="stop" operator="between" showDropDown="false" showErrorMessage="false" showInputMessage="false" sqref="J6:J105" type="list">
      <formula1>"Owner personal phone,Shop phone,Staff phone,Not by phone"</formula1>
      <formula2>0</formula2>
    </dataValidation>
    <dataValidation allowBlank="true" errorStyle="stop" operator="between" showDropDown="false" showErrorMessage="false" showInputMessage="false" sqref="L6:L105" type="list">
      <formula1>"1,2,3,4,5"</formula1>
      <formula2>0</formula2>
    </dataValidation>
    <dataValidation allowBlank="true" errorStyle="stop" operator="between" showDropDown="false" showErrorMessage="false" showInputMessage="false" sqref="M6:M105" type="list">
      <formula1>"Yes,Maybe,No"</formula1>
      <formula2>0</formula2>
    </dataValidation>
    <dataValidation allowBlank="true" errorStyle="stop" operator="between" showDropDown="false" showErrorMessage="false" showInputMessage="false" sqref="O6:O105" type="list">
      <formula1>"Distributor must agree,Trust / fraud worry,Prefer current app,Too many steps,Phone / account mismatch,Bills are paper only,Wants credit first,Data privacy,Other,None"</formula1>
      <formula2>0</formula2>
    </dataValidation>
    <dataValidation allowBlank="true" errorStyle="stop" operator="between" showDropDown="false" showErrorMessage="false" showInputMessage="false" sqref="P6:P105" type="list">
      <formula1>"e-Invoice QR,Paper / photo / WhatsApp,No bills"</formula1>
      <formula2>0</formula2>
    </dataValidation>
    <dataValidation allowBlank="true" errorStyle="stop" operator="between" showDropDown="false" showErrorMessage="false" showInputMessage="false" sqref="Q6:Q105" type="list">
      <formula1>"Yes,No"</formula1>
      <formula2>0</formula2>
    </dataValidation>
    <dataValidation allowBlank="true" errorStyle="stop" operator="between" showDropDown="false" showErrorMessage="false" showInputMessage="false" sqref="R6:R105" type="list">
      <formula1>"Yes,No"</formula1>
      <formula2>0</formula2>
    </dataValidation>
    <dataValidation allowBlank="true" errorStyle="stop" operator="between" showDropDown="false" showErrorMessage="false" showInputMessage="false" sqref="S6:S105" type="list">
      <formula1>"Yes,No,Already paid,No bill due"</formula1>
      <formula2>0</formula2>
    </dataValidation>
    <dataValidation allowBlank="true" errorStyle="stop" operator="between" showDropDown="false" showErrorMessage="false" showInputMessage="false" sqref="T6:T105" type="list">
      <formula1>"Yes,No"</formula1>
      <formula2>0</formula2>
    </dataValidation>
    <dataValidation allowBlank="true" errorStyle="stop" operator="between" showDropDown="false" showErrorMessage="false" showInputMessage="false" sqref="U6:U1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2" min="11" style="0" width="10"/>
    <col collapsed="false" customWidth="true" hidden="false" outlineLevel="0" max="15" min="13" style="0" width="12"/>
    <col collapsed="false" customWidth="true" hidden="false" outlineLevel="0" max="16" min="16" style="0" width="42"/>
    <col collapsed="false" customWidth="true" hidden="false" outlineLevel="0" max="17" min="17" style="0" width="26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5" customFormat="false" ht="30" hidden="false" customHeight="true" outlineLevel="0" collapsed="false">
      <c r="A5" s="5" t="s">
        <v>120</v>
      </c>
      <c r="B5" s="5" t="s">
        <v>31</v>
      </c>
      <c r="C5" s="5" t="s">
        <v>121</v>
      </c>
      <c r="D5" s="5" t="s">
        <v>33</v>
      </c>
      <c r="E5" s="5" t="s">
        <v>122</v>
      </c>
      <c r="F5" s="5" t="s">
        <v>123</v>
      </c>
      <c r="G5" s="5" t="s">
        <v>124</v>
      </c>
      <c r="H5" s="5" t="s">
        <v>125</v>
      </c>
      <c r="I5" s="5" t="s">
        <v>126</v>
      </c>
      <c r="J5" s="5" t="s">
        <v>127</v>
      </c>
      <c r="K5" s="5" t="s">
        <v>128</v>
      </c>
      <c r="L5" s="5" t="s">
        <v>129</v>
      </c>
      <c r="M5" s="5" t="s">
        <v>130</v>
      </c>
      <c r="N5" s="5" t="s">
        <v>131</v>
      </c>
      <c r="O5" s="5" t="s">
        <v>132</v>
      </c>
      <c r="P5" s="5" t="s">
        <v>133</v>
      </c>
      <c r="Q5" s="5" t="s">
        <v>51</v>
      </c>
    </row>
    <row r="6" customFormat="false" ht="15" hidden="false" customHeight="false" outlineLevel="0" collapsed="false">
      <c r="A6" s="6" t="s">
        <v>134</v>
      </c>
      <c r="B6" s="7" t="n">
        <v>46303</v>
      </c>
      <c r="C6" s="6" t="s">
        <v>135</v>
      </c>
      <c r="D6" s="6" t="s">
        <v>136</v>
      </c>
      <c r="E6" s="6" t="n">
        <v>250</v>
      </c>
      <c r="F6" s="6" t="s">
        <v>137</v>
      </c>
      <c r="G6" s="6" t="n">
        <v>7</v>
      </c>
      <c r="H6" s="6" t="s">
        <v>138</v>
      </c>
      <c r="I6" s="6" t="s">
        <v>139</v>
      </c>
      <c r="J6" s="6" t="n">
        <v>20</v>
      </c>
      <c r="K6" s="6" t="n">
        <v>60</v>
      </c>
      <c r="L6" s="6" t="n">
        <v>20</v>
      </c>
      <c r="M6" s="6" t="s">
        <v>140</v>
      </c>
      <c r="N6" s="6" t="s">
        <v>57</v>
      </c>
      <c r="O6" s="6" t="s">
        <v>57</v>
      </c>
      <c r="P6" s="6" t="s">
        <v>141</v>
      </c>
      <c r="Q6" s="6"/>
    </row>
    <row r="7" customFormat="false" ht="15" hidden="false" customHeight="false" outlineLevel="0" collapsed="false">
      <c r="A7" s="6" t="s">
        <v>142</v>
      </c>
      <c r="B7" s="7" t="n">
        <v>46303</v>
      </c>
      <c r="C7" s="6" t="s">
        <v>80</v>
      </c>
      <c r="D7" s="6" t="s">
        <v>143</v>
      </c>
      <c r="E7" s="6" t="n">
        <v>150</v>
      </c>
      <c r="F7" s="6" t="s">
        <v>144</v>
      </c>
      <c r="G7" s="6" t="n">
        <v>14</v>
      </c>
      <c r="H7" s="6" t="s">
        <v>145</v>
      </c>
      <c r="I7" s="6" t="s">
        <v>57</v>
      </c>
      <c r="J7" s="6" t="n">
        <v>10</v>
      </c>
      <c r="K7" s="6" t="n">
        <v>40</v>
      </c>
      <c r="L7" s="6" t="n">
        <v>50</v>
      </c>
      <c r="M7" s="6" t="s">
        <v>146</v>
      </c>
      <c r="N7" s="6" t="s">
        <v>147</v>
      </c>
      <c r="O7" s="6" t="s">
        <v>57</v>
      </c>
      <c r="P7" s="6" t="s">
        <v>148</v>
      </c>
      <c r="Q7" s="6"/>
    </row>
    <row r="8" customFormat="false" ht="15" hidden="false" customHeight="false" outlineLevel="0" collapsed="false">
      <c r="A8" s="6" t="s">
        <v>149</v>
      </c>
      <c r="B8" s="7" t="n">
        <v>46303</v>
      </c>
      <c r="C8" s="6" t="s">
        <v>150</v>
      </c>
      <c r="D8" s="6" t="s">
        <v>151</v>
      </c>
      <c r="E8" s="6" t="n">
        <v>400</v>
      </c>
      <c r="F8" s="6" t="s">
        <v>152</v>
      </c>
      <c r="G8" s="6" t="n">
        <v>0</v>
      </c>
      <c r="H8" s="6" t="s">
        <v>153</v>
      </c>
      <c r="I8" s="6" t="s">
        <v>139</v>
      </c>
      <c r="J8" s="6" t="n">
        <v>40</v>
      </c>
      <c r="K8" s="6" t="n">
        <v>50</v>
      </c>
      <c r="L8" s="6" t="n">
        <v>10</v>
      </c>
      <c r="M8" s="6" t="s">
        <v>146</v>
      </c>
      <c r="N8" s="6" t="s">
        <v>57</v>
      </c>
      <c r="O8" s="6" t="s">
        <v>147</v>
      </c>
      <c r="P8" s="6" t="s">
        <v>154</v>
      </c>
      <c r="Q8" s="6"/>
    </row>
    <row r="9" customFormat="false" ht="15" hidden="false" customHeight="false" outlineLevel="0" collapsed="false">
      <c r="A9" s="6" t="s">
        <v>155</v>
      </c>
      <c r="B9" s="7" t="n">
        <v>46303</v>
      </c>
      <c r="C9" s="6" t="s">
        <v>156</v>
      </c>
      <c r="D9" s="6" t="s">
        <v>157</v>
      </c>
      <c r="E9" s="6" t="n">
        <v>100</v>
      </c>
      <c r="F9" s="6" t="s">
        <v>158</v>
      </c>
      <c r="G9" s="6" t="n">
        <v>30</v>
      </c>
      <c r="H9" s="6" t="s">
        <v>159</v>
      </c>
      <c r="I9" s="6" t="s">
        <v>63</v>
      </c>
      <c r="J9" s="6" t="n">
        <v>30</v>
      </c>
      <c r="K9" s="6" t="n">
        <v>20</v>
      </c>
      <c r="L9" s="6" t="n">
        <v>50</v>
      </c>
      <c r="M9" s="6" t="s">
        <v>140</v>
      </c>
      <c r="N9" s="6" t="s">
        <v>63</v>
      </c>
      <c r="O9" s="6" t="s">
        <v>63</v>
      </c>
      <c r="P9" s="6" t="s">
        <v>160</v>
      </c>
      <c r="Q9" s="6" t="s">
        <v>161</v>
      </c>
    </row>
    <row r="10" customFormat="false" ht="15" hidden="false" customHeight="false" outlineLevel="0" collapsed="false">
      <c r="A10" s="6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6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A14" s="6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</sheetData>
  <dataValidations count="6">
    <dataValidation allowBlank="true" errorStyle="stop" operator="between" showDropDown="false" showErrorMessage="false" showInputMessage="false" sqref="D6:D25" type="list">
      <formula1>"FMCG,Pharma,Dairy,Hardware,Electronics,Mixed"</formula1>
      <formula2>0</formula2>
    </dataValidation>
    <dataValidation allowBlank="true" errorStyle="stop" operator="between" showDropDown="false" showErrorMessage="false" showInputMessage="false" sqref="H6:H25" type="list">
      <formula1>"Tally,Marg,Busy,Other ERP,None / paper"</formula1>
      <formula2>0</formula2>
    </dataValidation>
    <dataValidation allowBlank="true" errorStyle="stop" operator="between" showDropDown="false" showErrorMessage="false" showInputMessage="false" sqref="I6:I25" type="list">
      <formula1>"Yes,No,Not sure"</formula1>
      <formula2>0</formula2>
    </dataValidation>
    <dataValidation allowBlank="true" errorStyle="stop" operator="between" showDropDown="false" showErrorMessage="false" showInputMessage="false" sqref="M6:M25" type="list">
      <formula1>"Yes (concerned),No / not aware"</formula1>
      <formula2>0</formula2>
    </dataValidation>
    <dataValidation allowBlank="true" errorStyle="stop" operator="between" showDropDown="false" showErrorMessage="false" showInputMessage="false" sqref="N6:N25" type="list">
      <formula1>"Yes,No,Maybe later"</formula1>
      <formula2>0</formula2>
    </dataValidation>
    <dataValidation allowBlank="true" errorStyle="stop" operator="between" showDropDown="false" showErrorMessage="false" showInputMessage="false" sqref="O6:O25" type="list">
      <formula1>"Yes,No,Maybe 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30" hidden="false" customHeight="true" outlineLevel="0" collapsed="false">
      <c r="A4" s="5" t="s">
        <v>164</v>
      </c>
      <c r="B4" s="5" t="s">
        <v>165</v>
      </c>
      <c r="C4" s="5" t="s">
        <v>166</v>
      </c>
      <c r="D4" s="5" t="s">
        <v>167</v>
      </c>
      <c r="E4" s="5" t="s">
        <v>168</v>
      </c>
      <c r="F4" s="9" t="s">
        <v>169</v>
      </c>
    </row>
    <row r="5" customFormat="false" ht="15" hidden="false" customHeight="false" outlineLevel="0" collapsed="false">
      <c r="A5" s="4" t="s">
        <v>170</v>
      </c>
      <c r="B5" s="10" t="n">
        <f aca="false">COUNTA('R2 Validation Log'!$A$6:$A$105)</f>
        <v>21</v>
      </c>
      <c r="C5" s="11"/>
      <c r="D5" s="12" t="s">
        <v>171</v>
      </c>
      <c r="E5" s="12" t="s">
        <v>172</v>
      </c>
      <c r="F5" s="13" t="str">
        <f aca="false">IF(OR(C5="",C5=0),"",B5/C5)</f>
        <v/>
      </c>
    </row>
    <row r="6" customFormat="false" ht="15" hidden="false" customHeight="false" outlineLevel="0" collapsed="false">
      <c r="A6" s="4" t="s">
        <v>173</v>
      </c>
      <c r="B6" s="10" t="n">
        <f aca="false">COUNTA('Distributor Log'!$A$6:$A$25)</f>
        <v>4</v>
      </c>
      <c r="C6" s="11"/>
      <c r="D6" s="12" t="s">
        <v>174</v>
      </c>
      <c r="E6" s="12" t="s">
        <v>175</v>
      </c>
      <c r="F6" s="13" t="str">
        <f aca="false">IF(OR(C6="",C6=0),"",B6/C6)</f>
        <v/>
      </c>
    </row>
    <row r="7" customFormat="false" ht="15" hidden="false" customHeight="false" outlineLevel="0" collapsed="false">
      <c r="A7" s="4" t="s">
        <v>176</v>
      </c>
      <c r="B7" s="10" t="n">
        <f aca="false">COUNT('R2 Validation Log'!$L$6:$L$105)</f>
        <v>21</v>
      </c>
      <c r="C7" s="11"/>
      <c r="D7" s="12" t="s">
        <v>177</v>
      </c>
      <c r="E7" s="12" t="s">
        <v>178</v>
      </c>
      <c r="F7" s="13" t="str">
        <f aca="false">IF(OR(C7="",C7=0),"",B7/C7)</f>
        <v/>
      </c>
    </row>
    <row r="8" customFormat="false" ht="15" hidden="false" customHeight="false" outlineLevel="0" collapsed="false">
      <c r="A8" s="4" t="s">
        <v>179</v>
      </c>
      <c r="B8" s="10" t="n">
        <f aca="false">COUNTIF('R2 Validation Log'!$L$6:$L$105,"&gt;=4")</f>
        <v>20</v>
      </c>
      <c r="C8" s="11" t="n">
        <f aca="false">B7</f>
        <v>21</v>
      </c>
      <c r="D8" s="12" t="s">
        <v>180</v>
      </c>
      <c r="E8" s="12" t="s">
        <v>181</v>
      </c>
      <c r="F8" s="13" t="n">
        <f aca="false">IF(OR(C8="",C8=0),"",B8/C8)</f>
        <v>0.952380952380952</v>
      </c>
    </row>
    <row r="9" customFormat="false" ht="15" hidden="false" customHeight="false" outlineLevel="0" collapsed="false">
      <c r="A9" s="4" t="s">
        <v>182</v>
      </c>
      <c r="B9" s="10" t="n">
        <f aca="false">COUNTIF('R2 Validation Log'!$M$6:$M$105,"Yes")</f>
        <v>8</v>
      </c>
      <c r="C9" s="11" t="n">
        <f aca="false">B7</f>
        <v>21</v>
      </c>
      <c r="D9" s="12" t="s">
        <v>183</v>
      </c>
      <c r="E9" s="12" t="s">
        <v>184</v>
      </c>
      <c r="F9" s="13" t="n">
        <f aca="false">IF(OR(C9="",C9=0),"",B9/C9)</f>
        <v>0.380952380952381</v>
      </c>
    </row>
    <row r="10" customFormat="false" ht="15" hidden="false" customHeight="false" outlineLevel="0" collapsed="false">
      <c r="A10" s="4" t="s">
        <v>185</v>
      </c>
      <c r="B10" s="10" t="n">
        <f aca="false">COUNTIF('R2 Validation Log'!$M$6:$M$105,"Maybe")</f>
        <v>13</v>
      </c>
      <c r="C10" s="11" t="n">
        <f aca="false">B7</f>
        <v>21</v>
      </c>
      <c r="D10" s="12" t="s">
        <v>186</v>
      </c>
      <c r="E10" s="12" t="s">
        <v>187</v>
      </c>
      <c r="F10" s="13" t="n">
        <f aca="false">IF(OR(C10="",C10=0),"",B10/C10)</f>
        <v>0.619047619047619</v>
      </c>
    </row>
    <row r="11" customFormat="false" ht="15" hidden="false" customHeight="false" outlineLevel="0" collapsed="false">
      <c r="A11" s="4" t="s">
        <v>188</v>
      </c>
      <c r="B11" s="10" t="n">
        <f aca="false">COUNTA('R2 Validation Log'!$Q$6:$Q$105)</f>
        <v>21</v>
      </c>
      <c r="C11" s="11"/>
      <c r="D11" s="12" t="s">
        <v>189</v>
      </c>
      <c r="E11" s="12" t="s">
        <v>190</v>
      </c>
      <c r="F11" s="13" t="str">
        <f aca="false">IF(OR(C11="",C11=0),"",B11/C11)</f>
        <v/>
      </c>
    </row>
    <row r="12" customFormat="false" ht="15" hidden="false" customHeight="false" outlineLevel="0" collapsed="false">
      <c r="A12" s="4" t="s">
        <v>191</v>
      </c>
      <c r="B12" s="10" t="n">
        <f aca="false">IF(COUNT('R2 Validation Log'!$K$6:$K$105)=0,"–",MEDIAN('R2 Validation Log'!$K$6:$K$105))</f>
        <v>4</v>
      </c>
      <c r="C12" s="11"/>
      <c r="D12" s="12" t="s">
        <v>192</v>
      </c>
      <c r="E12" s="12" t="s">
        <v>193</v>
      </c>
      <c r="F12" s="13" t="str">
        <f aca="false">IF(OR(C12="",C12=0),"",B12/C12)</f>
        <v/>
      </c>
    </row>
    <row r="13" customFormat="false" ht="15" hidden="false" customHeight="false" outlineLevel="0" collapsed="false">
      <c r="A13" s="4" t="s">
        <v>194</v>
      </c>
      <c r="B13" s="10" t="n">
        <f aca="false">COUNTIF('R2 Validation Log'!$Q$6:$Q$105,"Yes")</f>
        <v>21</v>
      </c>
      <c r="C13" s="11" t="n">
        <f aca="false">B11</f>
        <v>21</v>
      </c>
      <c r="D13" s="12" t="s">
        <v>195</v>
      </c>
      <c r="E13" s="12" t="s">
        <v>196</v>
      </c>
      <c r="F13" s="13" t="n">
        <f aca="false">IF(OR(C13="",C13=0),"",B13/C13)</f>
        <v>1</v>
      </c>
    </row>
    <row r="14" customFormat="false" ht="15" hidden="false" customHeight="false" outlineLevel="0" collapsed="false">
      <c r="A14" s="4" t="s">
        <v>197</v>
      </c>
      <c r="B14" s="10" t="n">
        <f aca="false">COUNTIF('R2 Validation Log'!$R$6:$R$105,"Yes")</f>
        <v>8</v>
      </c>
      <c r="C14" s="11" t="n">
        <f aca="false">B11</f>
        <v>21</v>
      </c>
      <c r="D14" s="12" t="s">
        <v>198</v>
      </c>
      <c r="E14" s="12" t="s">
        <v>196</v>
      </c>
      <c r="F14" s="13" t="n">
        <f aca="false">IF(OR(C14="",C14=0),"",B14/C14)</f>
        <v>0.380952380952381</v>
      </c>
    </row>
    <row r="15" customFormat="false" ht="15" hidden="false" customHeight="false" outlineLevel="0" collapsed="false">
      <c r="A15" s="4" t="s">
        <v>199</v>
      </c>
      <c r="B15" s="10" t="n">
        <f aca="false">COUNTIF('R2 Validation Log'!$S$6:$S$105,"Yes")</f>
        <v>7</v>
      </c>
      <c r="C15" s="11" t="n">
        <f aca="false">B11</f>
        <v>21</v>
      </c>
      <c r="D15" s="12" t="s">
        <v>200</v>
      </c>
      <c r="E15" s="12" t="s">
        <v>201</v>
      </c>
      <c r="F15" s="13" t="n">
        <f aca="false">IF(OR(C15="",C15=0),"",B15/C15)</f>
        <v>0.333333333333333</v>
      </c>
    </row>
    <row r="16" customFormat="false" ht="15" hidden="false" customHeight="false" outlineLevel="0" collapsed="false">
      <c r="A16" s="4" t="s">
        <v>202</v>
      </c>
      <c r="B16" s="10" t="n">
        <f aca="false">COUNTIF('R2 Validation Log'!$T$6:$T$105,"Yes")</f>
        <v>13</v>
      </c>
      <c r="C16" s="11" t="n">
        <f aca="false">B11</f>
        <v>21</v>
      </c>
      <c r="D16" s="12" t="s">
        <v>203</v>
      </c>
      <c r="E16" s="12" t="s">
        <v>196</v>
      </c>
      <c r="F16" s="13" t="n">
        <f aca="false">IF(OR(C16="",C16=0),"",B16/C16)</f>
        <v>0.619047619047619</v>
      </c>
    </row>
    <row r="17" customFormat="false" ht="15" hidden="false" customHeight="false" outlineLevel="0" collapsed="false">
      <c r="A17" s="4" t="s">
        <v>204</v>
      </c>
      <c r="B17" s="10" t="n">
        <f aca="false">COUNTIF('R2 Validation Log'!$U$6:$U$105,"Yes")</f>
        <v>21</v>
      </c>
      <c r="C17" s="11" t="n">
        <f aca="false">B11</f>
        <v>21</v>
      </c>
      <c r="D17" s="12" t="s">
        <v>205</v>
      </c>
      <c r="E17" s="12"/>
      <c r="F17" s="13" t="n">
        <f aca="false">IF(OR(C17="",C17=0),"",B17/C17)</f>
        <v>1</v>
      </c>
    </row>
    <row r="18" customFormat="false" ht="15" hidden="false" customHeight="false" outlineLevel="0" collapsed="false">
      <c r="A18" s="4" t="s">
        <v>206</v>
      </c>
      <c r="B18" s="10" t="n">
        <f aca="false">COUNTA('R2 Validation Log'!$P$6:$P$105)-COUNTIF('R2 Validation Log'!$P$6:$P$105,"No bills")</f>
        <v>21</v>
      </c>
      <c r="C18" s="11"/>
      <c r="D18" s="12" t="s">
        <v>207</v>
      </c>
      <c r="E18" s="12"/>
      <c r="F18" s="13" t="str">
        <f aca="false">IF(OR(C18="",C18=0),"",B18/C18)</f>
        <v/>
      </c>
    </row>
    <row r="19" customFormat="false" ht="15" hidden="false" customHeight="false" outlineLevel="0" collapsed="false">
      <c r="A19" s="4" t="s">
        <v>208</v>
      </c>
      <c r="B19" s="10" t="n">
        <f aca="false">COUNTIF('R2 Validation Log'!$P$6:$P$105,"e-Invoice QR")</f>
        <v>7</v>
      </c>
      <c r="C19" s="11" t="n">
        <f aca="false">B18</f>
        <v>21</v>
      </c>
      <c r="D19" s="12" t="s">
        <v>209</v>
      </c>
      <c r="E19" s="12"/>
      <c r="F19" s="13" t="n">
        <f aca="false">IF(OR(C19="",C19=0),"",B19/C19)</f>
        <v>0.333333333333333</v>
      </c>
    </row>
    <row r="20" customFormat="false" ht="15" hidden="false" customHeight="false" outlineLevel="0" collapsed="false">
      <c r="A20" s="4" t="s">
        <v>210</v>
      </c>
      <c r="B20" s="10" t="n">
        <f aca="false">COUNTIF('Distributor Log'!$O$6:$O$25,"Yes")</f>
        <v>2</v>
      </c>
      <c r="C20" s="11" t="n">
        <f aca="false">B6</f>
        <v>4</v>
      </c>
      <c r="D20" s="12" t="s">
        <v>211</v>
      </c>
      <c r="E20" s="12" t="s">
        <v>212</v>
      </c>
      <c r="F20" s="13" t="n">
        <f aca="false">IF(OR(C20="",C20=0),"",B20/C20)</f>
        <v>0.5</v>
      </c>
    </row>
    <row r="21" customFormat="false" ht="15" hidden="false" customHeight="false" outlineLevel="0" collapsed="false">
      <c r="A21" s="4" t="s">
        <v>213</v>
      </c>
      <c r="B21" s="10" t="n">
        <f aca="false">COUNTIF('Distributor Log'!$N$6:$N$25,"Yes")</f>
        <v>2</v>
      </c>
      <c r="C21" s="11" t="n">
        <f aca="false">B6</f>
        <v>4</v>
      </c>
      <c r="D21" s="12" t="s">
        <v>214</v>
      </c>
      <c r="E21" s="12"/>
      <c r="F21" s="13" t="n">
        <f aca="false">IF(OR(C21="",C21=0),"",B21/C21)</f>
        <v>0.5</v>
      </c>
    </row>
    <row r="22" customFormat="false" ht="15" hidden="false" customHeight="false" outlineLevel="0" collapsed="false">
      <c r="A22" s="4" t="s">
        <v>215</v>
      </c>
      <c r="B22" s="10" t="n">
        <f aca="false">COUNTIF('Distributor Log'!$H$6:$H$25,"Tally")+COUNTIF('Distributor Log'!$H$6:$H$25,"Marg")+COUNTIF('Distributor Log'!$H$6:$H$25,"Busy")</f>
        <v>3</v>
      </c>
      <c r="C22" s="11" t="n">
        <f aca="false">B6</f>
        <v>4</v>
      </c>
      <c r="D22" s="12" t="s">
        <v>216</v>
      </c>
      <c r="E22" s="12"/>
      <c r="F22" s="13" t="n">
        <f aca="false">IF(OR(C22="",C22=0),"",B22/C22)</f>
        <v>0.75</v>
      </c>
    </row>
    <row r="24" customFormat="false" ht="15" hidden="false" customHeight="false" outlineLevel="0" collapsed="false">
      <c r="A24" s="9" t="s">
        <v>217</v>
      </c>
      <c r="B24" s="9" t="s">
        <v>218</v>
      </c>
      <c r="C24" s="9" t="s">
        <v>219</v>
      </c>
      <c r="D24" s="9" t="s">
        <v>167</v>
      </c>
      <c r="G24" s="9" t="s">
        <v>220</v>
      </c>
      <c r="H24" s="9" t="s">
        <v>167</v>
      </c>
    </row>
    <row r="25" customFormat="false" ht="15" hidden="false" customHeight="false" outlineLevel="0" collapsed="false">
      <c r="A25" s="4" t="s">
        <v>221</v>
      </c>
      <c r="B25" s="14" t="n">
        <f aca="false">COUNTIF('R2 Validation Log'!$D$6:$D$105,"Kirana / grocery")+COUNTIF('R2 Validation Log'!$D$6:$D$105,"General / FMCG store")</f>
        <v>10</v>
      </c>
      <c r="C25" s="15" t="n">
        <v>10</v>
      </c>
      <c r="D25" s="12" t="s">
        <v>222</v>
      </c>
      <c r="G25" s="14" t="n">
        <f aca="false">COUNTIFS('R2 Validation Log'!$D$6:$D$105,"Kirana / grocery",'R2 Validation Log'!$S$6:$S$105,"Yes")+COUNTIFS('R2 Validation Log'!$D$6:$D$105,"General / FMCG store",'R2 Validation Log'!$S$6:$S$105,"Yes")</f>
        <v>3</v>
      </c>
      <c r="H25" s="12" t="s">
        <v>223</v>
      </c>
    </row>
    <row r="26" customFormat="false" ht="15" hidden="false" customHeight="false" outlineLevel="0" collapsed="false">
      <c r="A26" s="4" t="s">
        <v>224</v>
      </c>
      <c r="B26" s="14" t="n">
        <f aca="false">COUNTIF('R2 Validation Log'!$D$6:$D$105,"Pharmacy / chemist")</f>
        <v>4</v>
      </c>
      <c r="C26" s="15" t="n">
        <v>5</v>
      </c>
      <c r="D26" s="12" t="s">
        <v>225</v>
      </c>
      <c r="G26" s="14" t="n">
        <f aca="false">COUNTIFS('R2 Validation Log'!$D$6:$D$105,"Pharmacy / chemist",'R2 Validation Log'!$S$6:$S$105,"Yes")</f>
        <v>3</v>
      </c>
      <c r="H26" s="12" t="s">
        <v>226</v>
      </c>
    </row>
    <row r="27" customFormat="false" ht="15" hidden="false" customHeight="false" outlineLevel="0" collapsed="false">
      <c r="A27" s="4" t="s">
        <v>227</v>
      </c>
      <c r="B27" s="14" t="n">
        <f aca="false">COUNTIF('R2 Validation Log'!$D$6:$D$105,"Restaurant / dhaba / canteen")+COUNTIF('R2 Validation Log'!$D$6:$D$105,"Dairy / bakery / sweets")</f>
        <v>4</v>
      </c>
      <c r="C27" s="15" t="n">
        <v>5</v>
      </c>
      <c r="D27" s="12" t="s">
        <v>228</v>
      </c>
      <c r="G27" s="14" t="n">
        <f aca="false">COUNTIFS('R2 Validation Log'!$D$6:$D$105,"Restaurant / dhaba / canteen",'R2 Validation Log'!$S$6:$S$105,"Yes")+COUNTIFS('R2 Validation Log'!$D$6:$D$105,"Dairy / bakery / sweets",'R2 Validation Log'!$S$6:$S$105,"Yes")</f>
        <v>1</v>
      </c>
      <c r="H27" s="12" t="s">
        <v>229</v>
      </c>
    </row>
    <row r="28" customFormat="false" ht="15" hidden="false" customHeight="false" outlineLevel="0" collapsed="false">
      <c r="A28" s="4" t="s">
        <v>230</v>
      </c>
      <c r="B28" s="14" t="n">
        <f aca="false">B5-B25-B26-B27</f>
        <v>3</v>
      </c>
      <c r="C28" s="15" t="n">
        <v>5</v>
      </c>
      <c r="D28" s="12" t="s">
        <v>231</v>
      </c>
      <c r="G28" s="14" t="n">
        <f aca="false">B15-G25-G26-G27</f>
        <v>0</v>
      </c>
      <c r="H28" s="12" t="s">
        <v>232</v>
      </c>
    </row>
    <row r="30" customFormat="false" ht="15" hidden="false" customHeight="false" outlineLevel="0" collapsed="false">
      <c r="A30" s="9" t="s">
        <v>233</v>
      </c>
      <c r="B30" s="9" t="s">
        <v>234</v>
      </c>
      <c r="C30" s="9" t="s">
        <v>235</v>
      </c>
      <c r="D30" s="9" t="s">
        <v>236</v>
      </c>
    </row>
    <row r="31" customFormat="false" ht="23.85" hidden="false" customHeight="false" outlineLevel="0" collapsed="false">
      <c r="A31" s="4" t="s">
        <v>237</v>
      </c>
      <c r="B31" s="16" t="n">
        <f aca="false">F15</f>
        <v>0.333333333333333</v>
      </c>
      <c r="C31" s="17" t="n">
        <v>0.3</v>
      </c>
      <c r="D31" s="14" t="str">
        <f aca="false">IF(B31="","–",IF(B31&gt;=C31,"PASS","BELOW BAR"))</f>
        <v>PASS</v>
      </c>
    </row>
    <row r="32" customFormat="false" ht="15" hidden="false" customHeight="false" outlineLevel="0" collapsed="false">
      <c r="A32" s="4" t="s">
        <v>238</v>
      </c>
      <c r="B32" s="18" t="n">
        <f aca="false">B20</f>
        <v>2</v>
      </c>
      <c r="C32" s="19" t="n">
        <v>2</v>
      </c>
      <c r="D32" s="14" t="str">
        <f aca="false">IF(B32="","–",IF(B32&gt;=C32,"PASS","BELOW BAR"))</f>
        <v>PASS</v>
      </c>
    </row>
    <row r="33" customFormat="false" ht="15" hidden="false" customHeight="false" outlineLevel="0" collapsed="false">
      <c r="A33" s="4" t="s">
        <v>239</v>
      </c>
      <c r="B33" s="4" t="s">
        <v>240</v>
      </c>
      <c r="C33" s="15" t="s">
        <v>241</v>
      </c>
      <c r="D33" s="4" t="s">
        <v>242</v>
      </c>
    </row>
    <row r="34" customFormat="false" ht="15" hidden="false" customHeight="false" outlineLevel="0" collapsed="false">
      <c r="A34" s="4" t="s">
        <v>243</v>
      </c>
      <c r="B34" s="4" t="s">
        <v>240</v>
      </c>
      <c r="C34" s="15" t="s">
        <v>241</v>
      </c>
      <c r="D34" s="4" t="s">
        <v>242</v>
      </c>
    </row>
    <row r="36" customFormat="false" ht="15" hidden="false" customHeight="false" outlineLevel="0" collapsed="false">
      <c r="A36" s="9" t="s">
        <v>244</v>
      </c>
      <c r="B36" s="9" t="s">
        <v>245</v>
      </c>
    </row>
    <row r="37" customFormat="false" ht="15" hidden="false" customHeight="false" outlineLevel="0" collapsed="false">
      <c r="A37" s="4" t="s">
        <v>78</v>
      </c>
      <c r="B37" s="14" t="n">
        <f aca="false">COUNTIF('R2 Validation Log'!$O$6:$O$105,"Distributor must agree")</f>
        <v>5</v>
      </c>
    </row>
    <row r="38" customFormat="false" ht="15" hidden="false" customHeight="false" outlineLevel="0" collapsed="false">
      <c r="A38" s="4" t="s">
        <v>71</v>
      </c>
      <c r="B38" s="14" t="n">
        <f aca="false">COUNTIF('R2 Validation Log'!$O$6:$O$105,"Trust / fraud worry")</f>
        <v>2</v>
      </c>
    </row>
    <row r="39" customFormat="false" ht="15" hidden="false" customHeight="false" outlineLevel="0" collapsed="false">
      <c r="A39" s="4" t="s">
        <v>85</v>
      </c>
      <c r="B39" s="14" t="n">
        <f aca="false">COUNTIF('R2 Validation Log'!$O$6:$O$105,"Prefer current app")</f>
        <v>5</v>
      </c>
    </row>
    <row r="40" customFormat="false" ht="15" hidden="false" customHeight="false" outlineLevel="0" collapsed="false">
      <c r="A40" s="4" t="s">
        <v>111</v>
      </c>
      <c r="B40" s="14" t="n">
        <f aca="false">COUNTIF('R2 Validation Log'!$O$6:$O$105,"Too many steps")</f>
        <v>2</v>
      </c>
    </row>
    <row r="41" customFormat="false" ht="15" hidden="false" customHeight="false" outlineLevel="0" collapsed="false">
      <c r="A41" s="4" t="s">
        <v>106</v>
      </c>
      <c r="B41" s="14" t="n">
        <f aca="false">COUNTIF('R2 Validation Log'!$O$6:$O$105,"Phone / account mismatch")</f>
        <v>1</v>
      </c>
    </row>
    <row r="42" customFormat="false" ht="15" hidden="false" customHeight="false" outlineLevel="0" collapsed="false">
      <c r="A42" s="4" t="s">
        <v>100</v>
      </c>
      <c r="B42" s="14" t="n">
        <f aca="false">COUNTIF('R2 Validation Log'!$O$6:$O$105,"Bills are paper only")</f>
        <v>1</v>
      </c>
    </row>
    <row r="43" customFormat="false" ht="15" hidden="false" customHeight="false" outlineLevel="0" collapsed="false">
      <c r="A43" s="4" t="s">
        <v>82</v>
      </c>
      <c r="B43" s="14" t="n">
        <f aca="false">COUNTIF('R2 Validation Log'!$O$6:$O$105,"Wants credit first")</f>
        <v>2</v>
      </c>
    </row>
    <row r="44" customFormat="false" ht="15" hidden="false" customHeight="false" outlineLevel="0" collapsed="false">
      <c r="A44" s="4" t="s">
        <v>246</v>
      </c>
      <c r="B44" s="14" t="n">
        <f aca="false">COUNTIF('R2 Validation Log'!$O$6:$O$105,"Data privacy")</f>
        <v>0</v>
      </c>
    </row>
    <row r="45" customFormat="false" ht="15" hidden="false" customHeight="false" outlineLevel="0" collapsed="false">
      <c r="A45" s="4" t="s">
        <v>247</v>
      </c>
      <c r="B45" s="14" t="n">
        <f aca="false">COUNTIF('R2 Validation Log'!$O$6:$O$105,"Other")</f>
        <v>0</v>
      </c>
    </row>
    <row r="46" customFormat="false" ht="15" hidden="false" customHeight="false" outlineLevel="0" collapsed="false">
      <c r="A46" s="4" t="s">
        <v>61</v>
      </c>
      <c r="B46" s="14" t="n">
        <f aca="false">COUNTIF('R2 Validation Log'!$O$6:$O$105,"None")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30" hidden="false" customHeight="true" outlineLevel="0" collapsed="false">
      <c r="A4" s="5" t="s">
        <v>250</v>
      </c>
      <c r="B4" s="5" t="s">
        <v>165</v>
      </c>
      <c r="C4" s="5"/>
      <c r="D4" s="5"/>
      <c r="E4" s="5"/>
      <c r="F4" s="5" t="s">
        <v>251</v>
      </c>
    </row>
    <row r="5" customFormat="false" ht="15" hidden="false" customHeight="false" outlineLevel="0" collapsed="false">
      <c r="A5" s="4" t="s">
        <v>252</v>
      </c>
      <c r="B5" s="20" t="n">
        <v>15700000</v>
      </c>
      <c r="F5" s="12" t="s">
        <v>253</v>
      </c>
    </row>
    <row r="6" customFormat="false" ht="15" hidden="false" customHeight="false" outlineLevel="0" collapsed="false">
      <c r="A6" s="4" t="s">
        <v>254</v>
      </c>
      <c r="B6" s="21" t="n">
        <v>0.45</v>
      </c>
      <c r="F6" s="12" t="s">
        <v>255</v>
      </c>
    </row>
    <row r="7" customFormat="false" ht="15" hidden="false" customHeight="false" outlineLevel="0" collapsed="false">
      <c r="A7" s="4" t="s">
        <v>256</v>
      </c>
      <c r="B7" s="21" t="n">
        <v>0.6</v>
      </c>
      <c r="F7" s="12" t="s">
        <v>257</v>
      </c>
    </row>
    <row r="8" customFormat="false" ht="15" hidden="false" customHeight="false" outlineLevel="0" collapsed="false">
      <c r="A8" s="4" t="s">
        <v>258</v>
      </c>
      <c r="B8" s="20" t="n">
        <v>60000</v>
      </c>
      <c r="F8" s="12" t="s">
        <v>259</v>
      </c>
    </row>
    <row r="9" customFormat="false" ht="15" hidden="false" customHeight="false" outlineLevel="0" collapsed="false">
      <c r="A9" s="4" t="s">
        <v>260</v>
      </c>
      <c r="B9" s="22" t="n">
        <v>0.08</v>
      </c>
      <c r="F9" s="12" t="s">
        <v>261</v>
      </c>
    </row>
    <row r="10" customFormat="false" ht="15" hidden="false" customHeight="false" outlineLevel="0" collapsed="false">
      <c r="A10" s="4" t="s">
        <v>262</v>
      </c>
      <c r="B10" s="23" t="n">
        <v>10</v>
      </c>
      <c r="F10" s="12" t="s">
        <v>263</v>
      </c>
    </row>
    <row r="11" customFormat="false" ht="15" hidden="false" customHeight="false" outlineLevel="0" collapsed="false">
      <c r="A11" s="4" t="s">
        <v>264</v>
      </c>
      <c r="B11" s="21" t="n">
        <v>0.5</v>
      </c>
      <c r="F11" s="12" t="s">
        <v>265</v>
      </c>
    </row>
    <row r="12" customFormat="false" ht="15" hidden="false" customHeight="false" outlineLevel="0" collapsed="false">
      <c r="A12" s="4" t="s">
        <v>266</v>
      </c>
      <c r="B12" s="24" t="n">
        <v>0.0008</v>
      </c>
      <c r="F12" s="12" t="s">
        <v>267</v>
      </c>
    </row>
    <row r="13" customFormat="false" ht="15" hidden="false" customHeight="false" outlineLevel="0" collapsed="false">
      <c r="A13" s="4" t="s">
        <v>268</v>
      </c>
      <c r="B13" s="21" t="n">
        <v>0.3</v>
      </c>
      <c r="F13" s="12" t="s">
        <v>269</v>
      </c>
    </row>
    <row r="14" customFormat="false" ht="15" hidden="false" customHeight="false" outlineLevel="0" collapsed="false">
      <c r="A14" s="4" t="s">
        <v>270</v>
      </c>
      <c r="B14" s="24" t="n">
        <v>0.0012</v>
      </c>
      <c r="F14" s="12" t="s">
        <v>271</v>
      </c>
    </row>
    <row r="15" customFormat="false" ht="15" hidden="false" customHeight="false" outlineLevel="0" collapsed="false">
      <c r="A15" s="4" t="s">
        <v>272</v>
      </c>
      <c r="B15" s="20" t="n">
        <v>20000</v>
      </c>
      <c r="F15" s="12" t="s">
        <v>273</v>
      </c>
    </row>
    <row r="16" customFormat="false" ht="15" hidden="false" customHeight="false" outlineLevel="0" collapsed="false">
      <c r="A16" s="4" t="s">
        <v>274</v>
      </c>
      <c r="B16" s="22" t="n">
        <v>0.015</v>
      </c>
      <c r="F16" s="12" t="s">
        <v>275</v>
      </c>
    </row>
    <row r="17" customFormat="false" ht="15" hidden="false" customHeight="false" outlineLevel="0" collapsed="false">
      <c r="A17" s="4" t="s">
        <v>276</v>
      </c>
      <c r="B17" s="25" t="n">
        <v>6</v>
      </c>
      <c r="F17" s="12" t="s">
        <v>277</v>
      </c>
    </row>
    <row r="18" customFormat="false" ht="15" hidden="false" customHeight="false" outlineLevel="0" collapsed="false">
      <c r="A18" s="4" t="s">
        <v>278</v>
      </c>
      <c r="B18" s="25" t="n">
        <v>6</v>
      </c>
      <c r="F18" s="12" t="s">
        <v>279</v>
      </c>
    </row>
    <row r="19" customFormat="false" ht="22.35" hidden="false" customHeight="false" outlineLevel="0" collapsed="false">
      <c r="A19" s="4" t="s">
        <v>280</v>
      </c>
      <c r="B19" s="20" t="n">
        <v>220</v>
      </c>
      <c r="F19" s="12" t="s">
        <v>281</v>
      </c>
    </row>
    <row r="20" customFormat="false" ht="15" hidden="false" customHeight="false" outlineLevel="0" collapsed="false">
      <c r="A20" s="4" t="s">
        <v>282</v>
      </c>
      <c r="B20" s="26" t="n">
        <v>0.3</v>
      </c>
      <c r="F20" s="12" t="s">
        <v>283</v>
      </c>
    </row>
    <row r="21" customFormat="false" ht="15" hidden="false" customHeight="false" outlineLevel="0" collapsed="false">
      <c r="A21" s="4" t="s">
        <v>284</v>
      </c>
      <c r="B21" s="21" t="n">
        <v>0.5</v>
      </c>
      <c r="F21" s="12" t="s">
        <v>285</v>
      </c>
    </row>
    <row r="22" customFormat="false" ht="15" hidden="false" customHeight="false" outlineLevel="0" collapsed="false">
      <c r="A22" s="4" t="s">
        <v>286</v>
      </c>
      <c r="B22" s="20" t="n">
        <v>10</v>
      </c>
      <c r="F22" s="12" t="s">
        <v>279</v>
      </c>
    </row>
    <row r="23" customFormat="false" ht="15" hidden="false" customHeight="false" outlineLevel="0" collapsed="false">
      <c r="A23" s="4" t="s">
        <v>287</v>
      </c>
      <c r="B23" s="20" t="n">
        <v>2990000</v>
      </c>
      <c r="F23" s="12" t="s">
        <v>288</v>
      </c>
    </row>
    <row r="25" customFormat="false" ht="30" hidden="false" customHeight="true" outlineLevel="0" collapsed="false">
      <c r="A25" s="5" t="s">
        <v>289</v>
      </c>
      <c r="B25" s="5" t="s">
        <v>290</v>
      </c>
      <c r="C25" s="5" t="s">
        <v>291</v>
      </c>
      <c r="D25" s="5" t="s">
        <v>292</v>
      </c>
      <c r="E25" s="5"/>
      <c r="F25" s="5" t="s">
        <v>251</v>
      </c>
    </row>
    <row r="26" customFormat="false" ht="15" hidden="false" customHeight="false" outlineLevel="0" collapsed="false">
      <c r="A26" s="4" t="s">
        <v>293</v>
      </c>
      <c r="B26" s="27" t="n">
        <v>0.08</v>
      </c>
      <c r="C26" s="27" t="n">
        <v>0.2</v>
      </c>
      <c r="D26" s="27" t="n">
        <v>0.35</v>
      </c>
      <c r="F26" s="12" t="s">
        <v>294</v>
      </c>
    </row>
    <row r="27" customFormat="false" ht="15" hidden="false" customHeight="false" outlineLevel="0" collapsed="false">
      <c r="A27" s="4" t="s">
        <v>295</v>
      </c>
      <c r="B27" s="27" t="n">
        <v>0.5</v>
      </c>
      <c r="C27" s="27" t="n">
        <v>0.6</v>
      </c>
      <c r="D27" s="27" t="n">
        <v>0.7</v>
      </c>
      <c r="F27" s="12" t="s">
        <v>296</v>
      </c>
    </row>
    <row r="28" customFormat="false" ht="15" hidden="false" customHeight="false" outlineLevel="0" collapsed="false">
      <c r="A28" s="4" t="s">
        <v>297</v>
      </c>
      <c r="B28" s="27" t="n">
        <v>0.1</v>
      </c>
      <c r="C28" s="27" t="n">
        <v>0.15</v>
      </c>
      <c r="D28" s="27" t="n">
        <v>0.2</v>
      </c>
      <c r="F28" s="12" t="s">
        <v>298</v>
      </c>
    </row>
    <row r="30" customFormat="false" ht="30" hidden="false" customHeight="true" outlineLevel="0" collapsed="false">
      <c r="A30" s="5" t="s">
        <v>299</v>
      </c>
      <c r="B30" s="5" t="s">
        <v>165</v>
      </c>
      <c r="C30" s="5"/>
      <c r="D30" s="5"/>
      <c r="E30" s="5"/>
      <c r="F30" s="5" t="s">
        <v>300</v>
      </c>
    </row>
    <row r="31" customFormat="false" ht="15" hidden="false" customHeight="false" outlineLevel="0" collapsed="false">
      <c r="A31" s="4" t="s">
        <v>301</v>
      </c>
      <c r="B31" s="28" t="n">
        <f aca="false">$B$5*$B$6*$B$7</f>
        <v>4239000</v>
      </c>
      <c r="F31" s="12" t="s">
        <v>302</v>
      </c>
    </row>
    <row r="32" customFormat="false" ht="15" hidden="false" customHeight="false" outlineLevel="0" collapsed="false">
      <c r="A32" s="4" t="s">
        <v>303</v>
      </c>
      <c r="B32" s="28" t="n">
        <f aca="false">B31*$B$8/10000000</f>
        <v>25434</v>
      </c>
    </row>
    <row r="33" customFormat="false" ht="15" hidden="false" customHeight="false" outlineLevel="0" collapsed="false">
      <c r="A33" s="4" t="s">
        <v>304</v>
      </c>
      <c r="B33" s="28" t="n">
        <f aca="false">B32*12</f>
        <v>305208</v>
      </c>
    </row>
    <row r="34" customFormat="false" ht="15" hidden="false" customHeight="false" outlineLevel="0" collapsed="false">
      <c r="A34" s="4" t="s">
        <v>305</v>
      </c>
      <c r="B34" s="28" t="n">
        <f aca="false">B32*$B$9</f>
        <v>2034.72</v>
      </c>
    </row>
    <row r="36" customFormat="false" ht="30" hidden="false" customHeight="true" outlineLevel="0" collapsed="false">
      <c r="A36" s="5" t="s">
        <v>306</v>
      </c>
      <c r="B36" s="5" t="s">
        <v>290</v>
      </c>
      <c r="C36" s="5" t="s">
        <v>291</v>
      </c>
      <c r="D36" s="5" t="s">
        <v>292</v>
      </c>
      <c r="E36" s="5" t="s">
        <v>307</v>
      </c>
      <c r="F36" s="5" t="s">
        <v>308</v>
      </c>
    </row>
    <row r="37" customFormat="false" ht="15" hidden="false" customHeight="false" outlineLevel="0" collapsed="false">
      <c r="A37" s="4" t="s">
        <v>309</v>
      </c>
      <c r="B37" s="29" t="n">
        <f aca="false">$B$31*B26</f>
        <v>339120</v>
      </c>
      <c r="C37" s="29" t="n">
        <f aca="false">$B$31*C26</f>
        <v>847800</v>
      </c>
      <c r="D37" s="29" t="n">
        <f aca="false">$B$31*D26</f>
        <v>1483650</v>
      </c>
      <c r="E37" s="29" t="n">
        <f aca="false">SUM(B37:D37)</f>
        <v>2670570</v>
      </c>
      <c r="F37" s="12" t="s">
        <v>310</v>
      </c>
    </row>
    <row r="38" customFormat="false" ht="15" hidden="false" customHeight="false" outlineLevel="0" collapsed="false">
      <c r="A38" s="4" t="s">
        <v>311</v>
      </c>
      <c r="B38" s="30" t="n">
        <f aca="false">B27-$B$9</f>
        <v>0.42</v>
      </c>
      <c r="C38" s="30" t="n">
        <f aca="false">C27-$B$9</f>
        <v>0.52</v>
      </c>
      <c r="D38" s="30" t="n">
        <f aca="false">D27-$B$9</f>
        <v>0.62</v>
      </c>
      <c r="F38" s="12" t="s">
        <v>312</v>
      </c>
    </row>
    <row r="39" customFormat="false" ht="15" hidden="false" customHeight="false" outlineLevel="0" collapsed="false">
      <c r="A39" s="4" t="s">
        <v>313</v>
      </c>
      <c r="B39" s="29" t="n">
        <f aca="false">B37*$B$8*B38/10000000</f>
        <v>854.5824</v>
      </c>
      <c r="C39" s="29" t="n">
        <f aca="false">C37*$B$8*C38/10000000</f>
        <v>2645.136</v>
      </c>
      <c r="D39" s="29" t="n">
        <f aca="false">D37*$B$8*D38/10000000</f>
        <v>5519.178</v>
      </c>
      <c r="F39" s="12"/>
    </row>
    <row r="40" customFormat="false" ht="15" hidden="false" customHeight="false" outlineLevel="0" collapsed="false">
      <c r="A40" s="14" t="s">
        <v>314</v>
      </c>
      <c r="B40" s="31" t="n">
        <f aca="false">B39*12</f>
        <v>10254.9888</v>
      </c>
      <c r="C40" s="31" t="n">
        <f aca="false">C39*12</f>
        <v>31741.632</v>
      </c>
      <c r="D40" s="31" t="n">
        <f aca="false">D39*12</f>
        <v>66230.136</v>
      </c>
      <c r="E40" s="29" t="n">
        <f aca="false">SUM(B40:D40)</f>
        <v>108226.7568</v>
      </c>
      <c r="F40" s="12" t="s">
        <v>315</v>
      </c>
    </row>
    <row r="41" customFormat="false" ht="15" hidden="false" customHeight="false" outlineLevel="0" collapsed="false">
      <c r="A41" s="4" t="s">
        <v>316</v>
      </c>
      <c r="B41" s="29" t="n">
        <f aca="false">B37*$B$10*B38</f>
        <v>1424304</v>
      </c>
      <c r="C41" s="29" t="n">
        <f aca="false">C37*$B$10*C38</f>
        <v>4408560</v>
      </c>
      <c r="D41" s="29" t="n">
        <f aca="false">D37*$B$10*D38</f>
        <v>9198630</v>
      </c>
      <c r="F41" s="12"/>
    </row>
    <row r="42" customFormat="false" ht="15" hidden="false" customHeight="false" outlineLevel="0" collapsed="false">
      <c r="A42" s="14" t="s">
        <v>317</v>
      </c>
      <c r="B42" s="32" t="n">
        <f aca="false">$B$9+B39/$B$32</f>
        <v>0.1136</v>
      </c>
      <c r="C42" s="32" t="n">
        <f aca="false">$B$9+C39/$B$32</f>
        <v>0.184</v>
      </c>
      <c r="D42" s="32" t="n">
        <f aca="false">$B$9+D39/$B$32</f>
        <v>0.297</v>
      </c>
      <c r="F42" s="12" t="s">
        <v>318</v>
      </c>
    </row>
    <row r="43" customFormat="false" ht="15" hidden="false" customHeight="false" outlineLevel="0" collapsed="false">
      <c r="A43" s="4" t="s">
        <v>319</v>
      </c>
      <c r="B43" s="33" t="n">
        <f aca="false">B39/$B$23*100</f>
        <v>0.0285813511705686</v>
      </c>
      <c r="C43" s="33" t="n">
        <f aca="false">C39/$B$23*100</f>
        <v>0.0884660869565217</v>
      </c>
      <c r="D43" s="33" t="n">
        <f aca="false">D39/$B$23*100</f>
        <v>0.184587892976589</v>
      </c>
      <c r="F43" s="12"/>
    </row>
    <row r="44" customFormat="false" ht="15" hidden="false" customHeight="false" outlineLevel="0" collapsed="false">
      <c r="A44" s="4" t="s">
        <v>320</v>
      </c>
      <c r="B44" s="34" t="n">
        <f aca="false">B40*$B$11*$B$12</f>
        <v>4.10199552</v>
      </c>
      <c r="C44" s="34" t="n">
        <f aca="false">C40*$B$11*$B$12</f>
        <v>12.6966528</v>
      </c>
      <c r="D44" s="34" t="n">
        <f aca="false">D40*$B$11*$B$12</f>
        <v>26.4920544</v>
      </c>
      <c r="E44" s="34" t="n">
        <f aca="false">SUM(B44:D44)</f>
        <v>43.29070272</v>
      </c>
      <c r="F44" s="12"/>
    </row>
    <row r="45" customFormat="false" ht="15" hidden="false" customHeight="false" outlineLevel="0" collapsed="false">
      <c r="A45" s="4" t="s">
        <v>321</v>
      </c>
      <c r="B45" s="34" t="n">
        <f aca="false">B40*$B$11*$B$13*$B$14</f>
        <v>1.845897984</v>
      </c>
      <c r="C45" s="34" t="n">
        <f aca="false">C40*$B$11*$B$13*$B$14</f>
        <v>5.71349376</v>
      </c>
      <c r="D45" s="34" t="n">
        <f aca="false">D40*$B$11*$B$13*$B$14</f>
        <v>11.92142448</v>
      </c>
      <c r="E45" s="34" t="n">
        <f aca="false">SUM(B45:D45)</f>
        <v>19.480816224</v>
      </c>
      <c r="F45" s="12"/>
    </row>
    <row r="46" customFormat="false" ht="15" hidden="false" customHeight="false" outlineLevel="0" collapsed="false">
      <c r="A46" s="4" t="s">
        <v>322</v>
      </c>
      <c r="B46" s="29" t="n">
        <f aca="false">B37*B28</f>
        <v>33912</v>
      </c>
      <c r="C46" s="29" t="n">
        <f aca="false">C37*C28</f>
        <v>127170</v>
      </c>
      <c r="D46" s="29" t="n">
        <f aca="false">D37*D28</f>
        <v>296730</v>
      </c>
      <c r="F46" s="12"/>
    </row>
    <row r="47" customFormat="false" ht="15" hidden="false" customHeight="false" outlineLevel="0" collapsed="false">
      <c r="A47" s="4" t="s">
        <v>323</v>
      </c>
      <c r="B47" s="29" t="n">
        <f aca="false">B46*$B$15*12/10000000</f>
        <v>813.888</v>
      </c>
      <c r="C47" s="29" t="n">
        <f aca="false">C46*$B$15*12/10000000</f>
        <v>3052.08</v>
      </c>
      <c r="D47" s="29" t="n">
        <f aca="false">D46*$B$15*12/10000000</f>
        <v>7121.52</v>
      </c>
      <c r="E47" s="29" t="n">
        <f aca="false">SUM(B47:D47)</f>
        <v>10987.488</v>
      </c>
      <c r="F47" s="12"/>
    </row>
    <row r="48" customFormat="false" ht="15" hidden="false" customHeight="false" outlineLevel="0" collapsed="false">
      <c r="A48" s="4" t="s">
        <v>324</v>
      </c>
      <c r="B48" s="34" t="n">
        <f aca="false">B47*$B$16</f>
        <v>12.20832</v>
      </c>
      <c r="C48" s="34" t="n">
        <f aca="false">C47*$B$16</f>
        <v>45.7812</v>
      </c>
      <c r="D48" s="34" t="n">
        <f aca="false">D47*$B$16</f>
        <v>106.8228</v>
      </c>
      <c r="E48" s="34" t="n">
        <f aca="false">SUM(B48:D48)</f>
        <v>164.81232</v>
      </c>
      <c r="F48" s="12"/>
    </row>
    <row r="49" customFormat="false" ht="15" hidden="false" customHeight="false" outlineLevel="0" collapsed="false">
      <c r="A49" s="14" t="s">
        <v>325</v>
      </c>
      <c r="B49" s="35" t="n">
        <f aca="false">B44+B45+B48</f>
        <v>18.156213504</v>
      </c>
      <c r="C49" s="35" t="n">
        <f aca="false">C44+C45+C48</f>
        <v>64.19134656</v>
      </c>
      <c r="D49" s="35" t="n">
        <f aca="false">D44+D45+D48</f>
        <v>145.23627888</v>
      </c>
      <c r="E49" s="34" t="n">
        <f aca="false">SUM(B49:D49)</f>
        <v>227.583838944</v>
      </c>
      <c r="F49" s="12"/>
    </row>
    <row r="50" customFormat="false" ht="15" hidden="false" customHeight="false" outlineLevel="0" collapsed="false">
      <c r="A50" s="4" t="s">
        <v>326</v>
      </c>
      <c r="B50" s="29" t="n">
        <f aca="false">B37</f>
        <v>339120</v>
      </c>
      <c r="C50" s="29" t="n">
        <f aca="false">C37-B37</f>
        <v>508680</v>
      </c>
      <c r="D50" s="29" t="n">
        <f aca="false">D37-C37</f>
        <v>635850</v>
      </c>
      <c r="E50" s="29" t="n">
        <f aca="false">SUM(B50:D50)</f>
        <v>1483650</v>
      </c>
      <c r="F50" s="12"/>
    </row>
    <row r="51" customFormat="false" ht="15" hidden="false" customHeight="false" outlineLevel="0" collapsed="false">
      <c r="A51" s="4" t="s">
        <v>327</v>
      </c>
      <c r="B51" s="34" t="n">
        <f aca="false">$B$17+$B$18</f>
        <v>12</v>
      </c>
      <c r="C51" s="34" t="n">
        <f aca="false">$B$18</f>
        <v>6</v>
      </c>
      <c r="D51" s="34" t="n">
        <f aca="false">$B$18</f>
        <v>6</v>
      </c>
      <c r="E51" s="34" t="n">
        <f aca="false">SUM(B51:D51)</f>
        <v>24</v>
      </c>
      <c r="F51" s="12"/>
    </row>
    <row r="52" customFormat="false" ht="15" hidden="false" customHeight="false" outlineLevel="0" collapsed="false">
      <c r="A52" s="4" t="s">
        <v>328</v>
      </c>
      <c r="B52" s="34" t="n">
        <f aca="false">B50*$B$19/10000000</f>
        <v>7.46064</v>
      </c>
      <c r="C52" s="34" t="n">
        <f aca="false">C50*$B$19/10000000</f>
        <v>11.19096</v>
      </c>
      <c r="D52" s="34" t="n">
        <f aca="false">D50*$B$19/10000000</f>
        <v>13.9887</v>
      </c>
      <c r="E52" s="34" t="n">
        <f aca="false">SUM(B52:D52)</f>
        <v>32.6403</v>
      </c>
      <c r="F52" s="12"/>
    </row>
    <row r="53" customFormat="false" ht="15" hidden="false" customHeight="false" outlineLevel="0" collapsed="false">
      <c r="A53" s="4" t="s">
        <v>329</v>
      </c>
      <c r="B53" s="34" t="n">
        <f aca="false">B37*$B$10*12*$B$21*$B$20/10000000</f>
        <v>0.610416</v>
      </c>
      <c r="C53" s="34" t="n">
        <f aca="false">C37*$B$10*12*$B$21*$B$20/10000000</f>
        <v>1.52604</v>
      </c>
      <c r="D53" s="34" t="n">
        <f aca="false">D37*$B$10*12*$B$21*$B$20/10000000</f>
        <v>2.67057</v>
      </c>
      <c r="E53" s="34" t="n">
        <f aca="false">SUM(B53:D53)</f>
        <v>4.807026</v>
      </c>
      <c r="F53" s="12"/>
    </row>
    <row r="54" customFormat="false" ht="15" hidden="false" customHeight="false" outlineLevel="0" collapsed="false">
      <c r="A54" s="4" t="s">
        <v>330</v>
      </c>
      <c r="B54" s="34" t="n">
        <f aca="false">B37*$B$22/10000000</f>
        <v>0.33912</v>
      </c>
      <c r="C54" s="34" t="n">
        <f aca="false">C37*$B$22/10000000</f>
        <v>0.8478</v>
      </c>
      <c r="D54" s="34" t="n">
        <f aca="false">D37*$B$22/10000000</f>
        <v>1.48365</v>
      </c>
      <c r="E54" s="34" t="n">
        <f aca="false">SUM(B54:D54)</f>
        <v>2.67057</v>
      </c>
      <c r="F54" s="12"/>
    </row>
    <row r="55" customFormat="false" ht="15" hidden="false" customHeight="false" outlineLevel="0" collapsed="false">
      <c r="A55" s="14" t="s">
        <v>331</v>
      </c>
      <c r="B55" s="35" t="n">
        <f aca="false">SUM(B51:B54)</f>
        <v>20.410176</v>
      </c>
      <c r="C55" s="35" t="n">
        <f aca="false">SUM(C51:C54)</f>
        <v>19.5648</v>
      </c>
      <c r="D55" s="35" t="n">
        <f aca="false">SUM(D51:D54)</f>
        <v>24.14292</v>
      </c>
      <c r="E55" s="34" t="n">
        <f aca="false">SUM(B55:D55)</f>
        <v>64.117896</v>
      </c>
      <c r="F55" s="12"/>
    </row>
    <row r="56" customFormat="false" ht="15" hidden="false" customHeight="false" outlineLevel="0" collapsed="false">
      <c r="A56" s="14" t="s">
        <v>332</v>
      </c>
      <c r="B56" s="35" t="n">
        <f aca="false">B49-B55</f>
        <v>-2.253962496</v>
      </c>
      <c r="C56" s="35" t="n">
        <f aca="false">C49-C55</f>
        <v>44.62654656</v>
      </c>
      <c r="D56" s="35" t="n">
        <f aca="false">D49-D55</f>
        <v>121.09335888</v>
      </c>
      <c r="E56" s="34" t="n">
        <f aca="false">SUM(B56:D56)</f>
        <v>163.465942944</v>
      </c>
      <c r="F56" s="12"/>
    </row>
    <row r="57" customFormat="false" ht="15" hidden="false" customHeight="false" outlineLevel="0" collapsed="false">
      <c r="A57" s="4" t="s">
        <v>333</v>
      </c>
      <c r="B57" s="29" t="n">
        <f aca="false">B55*10000000/B37</f>
        <v>601.857041755131</v>
      </c>
      <c r="C57" s="29" t="n">
        <f aca="false">C55*10000000/C37</f>
        <v>230.771408351026</v>
      </c>
      <c r="D57" s="29" t="n">
        <f aca="false">D55*10000000/D37</f>
        <v>162.726519057729</v>
      </c>
      <c r="F57" s="12" t="s">
        <v>334</v>
      </c>
    </row>
    <row r="58" customFormat="false" ht="15" hidden="false" customHeight="false" outlineLevel="0" collapsed="false">
      <c r="A58" s="4" t="s">
        <v>335</v>
      </c>
      <c r="B58" s="36" t="n">
        <f aca="false">B55/B40*1000</f>
        <v>1.99026799522199</v>
      </c>
      <c r="C58" s="36" t="n">
        <f aca="false">C55/C40*1000</f>
        <v>0.616376624869194</v>
      </c>
      <c r="D58" s="36" t="n">
        <f aca="false">D55/D40*1000</f>
        <v>0.364530732656204</v>
      </c>
      <c r="F58" s="12" t="s">
        <v>334</v>
      </c>
    </row>
    <row r="60" customFormat="false" ht="30" hidden="false" customHeight="true" outlineLevel="0" collapsed="false">
      <c r="A60" s="5" t="s">
        <v>336</v>
      </c>
      <c r="B60" s="5" t="s">
        <v>165</v>
      </c>
      <c r="C60" s="5"/>
      <c r="D60" s="5"/>
      <c r="E60" s="5"/>
      <c r="F60" s="5" t="s">
        <v>337</v>
      </c>
    </row>
    <row r="61" customFormat="false" ht="15" hidden="false" customHeight="false" outlineLevel="0" collapsed="false">
      <c r="A61" s="4" t="s">
        <v>338</v>
      </c>
      <c r="B61" s="31" t="n">
        <f aca="false">$B$8*12*(D27-$B$9)</f>
        <v>446400</v>
      </c>
      <c r="F61" s="12"/>
    </row>
    <row r="62" customFormat="false" ht="15" hidden="false" customHeight="false" outlineLevel="0" collapsed="false">
      <c r="A62" s="4" t="s">
        <v>339</v>
      </c>
      <c r="B62" s="31" t="n">
        <f aca="false">B61*$B$11*$B$12</f>
        <v>178.56</v>
      </c>
      <c r="F62" s="12"/>
    </row>
    <row r="63" customFormat="false" ht="15" hidden="false" customHeight="false" outlineLevel="0" collapsed="false">
      <c r="A63" s="4" t="s">
        <v>340</v>
      </c>
      <c r="B63" s="31" t="n">
        <f aca="false">B61*$B$11*$B$13*$B$14</f>
        <v>80.352</v>
      </c>
      <c r="F63" s="12"/>
    </row>
    <row r="64" customFormat="false" ht="15" hidden="false" customHeight="false" outlineLevel="0" collapsed="false">
      <c r="A64" s="4" t="s">
        <v>341</v>
      </c>
      <c r="B64" s="31" t="n">
        <f aca="false">D28*$B$15*12*$B$16</f>
        <v>720</v>
      </c>
      <c r="F64" s="12"/>
    </row>
    <row r="65" customFormat="false" ht="15" hidden="false" customHeight="false" outlineLevel="0" collapsed="false">
      <c r="A65" s="4" t="s">
        <v>342</v>
      </c>
      <c r="B65" s="35" t="n">
        <f aca="false">$B$19/((B62+B63)/12)</f>
        <v>10.1965146459029</v>
      </c>
      <c r="F65" s="12"/>
    </row>
    <row r="66" customFormat="false" ht="15" hidden="false" customHeight="false" outlineLevel="0" collapsed="false">
      <c r="A66" s="4" t="s">
        <v>343</v>
      </c>
      <c r="B66" s="35" t="n">
        <f aca="false">$B$19/((B62+B63+B64)/12)</f>
        <v>2.69687162891046</v>
      </c>
      <c r="F66" s="12"/>
    </row>
    <row r="67" customFormat="false" ht="15" hidden="false" customHeight="false" outlineLevel="0" collapsed="false">
      <c r="A67" s="4" t="s">
        <v>344</v>
      </c>
      <c r="B67" s="37" t="n">
        <f aca="false">(B62+B63)*(1+0.7+0.49)/$B$19</f>
        <v>2.57735127272727</v>
      </c>
      <c r="F67" s="12" t="s">
        <v>345</v>
      </c>
    </row>
    <row r="68" customFormat="false" ht="15" hidden="false" customHeight="false" outlineLevel="0" collapsed="false">
      <c r="A68" s="4" t="s">
        <v>346</v>
      </c>
      <c r="B68" s="37" t="n">
        <f aca="false">(B62+B63+B64)*(1+0.7+0.49)/$B$19</f>
        <v>9.744624</v>
      </c>
      <c r="F68" s="12"/>
    </row>
    <row r="69" customFormat="false" ht="15" hidden="false" customHeight="false" outlineLevel="0" collapsed="false">
      <c r="A69" s="4" t="s">
        <v>347</v>
      </c>
      <c r="B69" s="35" t="n">
        <f aca="false">D40*0.001</f>
        <v>66.230136</v>
      </c>
      <c r="F69" s="12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3"/>
    <col collapsed="false" customWidth="true" hidden="false" outlineLevel="0" max="7" min="4" style="0" width="18"/>
  </cols>
  <sheetData>
    <row r="1" customFormat="false" ht="17.3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15" hidden="false" customHeight="false" outlineLevel="0" collapsed="false">
      <c r="A4" s="4" t="s">
        <v>351</v>
      </c>
      <c r="B4" s="38" t="n">
        <f aca="false">'Business Model'!D40</f>
        <v>66230.136</v>
      </c>
    </row>
    <row r="5" customFormat="false" ht="15" hidden="false" customHeight="false" outlineLevel="0" collapsed="false">
      <c r="A5" s="4" t="s">
        <v>352</v>
      </c>
      <c r="B5" s="39" t="n">
        <f aca="false">'Business Model'!D49</f>
        <v>145.23627888</v>
      </c>
    </row>
    <row r="7" customFormat="false" ht="30" hidden="false" customHeight="true" outlineLevel="0" collapsed="false">
      <c r="A7" s="5" t="s">
        <v>353</v>
      </c>
      <c r="B7" s="5" t="s">
        <v>354</v>
      </c>
      <c r="C7" s="5" t="s">
        <v>355</v>
      </c>
      <c r="D7" s="5" t="s">
        <v>356</v>
      </c>
      <c r="E7" s="5" t="s">
        <v>357</v>
      </c>
      <c r="F7" s="5" t="s">
        <v>358</v>
      </c>
      <c r="G7" s="5" t="s">
        <v>359</v>
      </c>
    </row>
    <row r="8" customFormat="false" ht="15" hidden="false" customHeight="false" outlineLevel="0" collapsed="false">
      <c r="A8" s="4" t="s">
        <v>360</v>
      </c>
      <c r="B8" s="17" t="n">
        <v>0.2</v>
      </c>
      <c r="C8" s="17" t="n">
        <v>0.5</v>
      </c>
      <c r="D8" s="40" t="n">
        <f aca="false">'Business Model'!$B$31*B8*'Business Model'!$B$8*('Business Model'!$D$27-'Business Model'!$B$9)*12/10000000</f>
        <v>37845.792</v>
      </c>
      <c r="E8" s="40" t="n">
        <f aca="false">'Business Model'!$B$31*C8*'Business Model'!$B$8*('Business Model'!$D$27-'Business Model'!$B$9)*12/10000000</f>
        <v>94614.48</v>
      </c>
      <c r="F8" s="41" t="n">
        <f aca="false">'Business Model'!$B$31*B8*'Business Model'!$B$8*('Business Model'!$D$27-'Business Model'!$B$9)*12/10000000*'Business Model'!$B$11*('Business Model'!$B$12+'Business Model'!$B$13*'Business Model'!$B$14)+'Business Model'!$B$31*B8*'Business Model'!$D$28*'Business Model'!$B$15*12/10000000*'Business Model'!$B$16</f>
        <v>82.99215936</v>
      </c>
      <c r="G8" s="41" t="n">
        <f aca="false">'Business Model'!$B$31*C8*'Business Model'!$B$8*('Business Model'!$D$27-'Business Model'!$B$9)*12/10000000*'Business Model'!$B$11*('Business Model'!$B$12+'Business Model'!$B$13*'Business Model'!$B$14)+'Business Model'!$B$31*C8*'Business Model'!$D$28*'Business Model'!$B$15*12/10000000*'Business Model'!$B$16</f>
        <v>207.4803984</v>
      </c>
    </row>
    <row r="9" customFormat="false" ht="15" hidden="false" customHeight="false" outlineLevel="0" collapsed="false">
      <c r="A9" s="4" t="s">
        <v>258</v>
      </c>
      <c r="B9" s="42" t="n">
        <v>40000</v>
      </c>
      <c r="C9" s="42" t="n">
        <v>80000</v>
      </c>
      <c r="D9" s="40" t="n">
        <f aca="false">'Business Model'!$B$31*'Business Model'!$D$26*B9*('Business Model'!$D$27-'Business Model'!$B$9)*12/10000000</f>
        <v>44153.424</v>
      </c>
      <c r="E9" s="40" t="n">
        <f aca="false">'Business Model'!$B$31*'Business Model'!$D$26*C9*('Business Model'!$D$27-'Business Model'!$B$9)*12/10000000</f>
        <v>88306.848</v>
      </c>
      <c r="F9" s="41" t="n">
        <f aca="false">'Business Model'!$B$31*'Business Model'!$D$26*B9*('Business Model'!$D$27-'Business Model'!$B$9)*12/10000000*'Business Model'!$B$11*('Business Model'!$B$12+'Business Model'!$B$13*'Business Model'!$B$14)+'Business Model'!$B$31*'Business Model'!$D$26*'Business Model'!$D$28*'Business Model'!$B$15*12/10000000*'Business Model'!$B$16</f>
        <v>132.43178592</v>
      </c>
      <c r="G9" s="41" t="n">
        <f aca="false">'Business Model'!$B$31*'Business Model'!$D$26*C9*('Business Model'!$D$27-'Business Model'!$B$9)*12/10000000*'Business Model'!$B$11*('Business Model'!$B$12+'Business Model'!$B$13*'Business Model'!$B$14)+'Business Model'!$B$31*'Business Model'!$D$26*'Business Model'!$D$28*'Business Model'!$B$15*12/10000000*'Business Model'!$B$16</f>
        <v>158.04077184</v>
      </c>
    </row>
    <row r="10" customFormat="false" ht="15" hidden="false" customHeight="false" outlineLevel="0" collapsed="false">
      <c r="A10" s="4" t="s">
        <v>295</v>
      </c>
      <c r="B10" s="17" t="n">
        <v>0.55</v>
      </c>
      <c r="C10" s="17" t="n">
        <v>0.85</v>
      </c>
      <c r="D10" s="40" t="n">
        <f aca="false">'Business Model'!$B$31*'Business Model'!$D$26*'Business Model'!$B$8*(B10-'Business Model'!$B$9)*12/10000000</f>
        <v>50206.716</v>
      </c>
      <c r="E10" s="40" t="n">
        <f aca="false">'Business Model'!$B$31*'Business Model'!$D$26*'Business Model'!$B$8*(C10-'Business Model'!$B$9)*12/10000000</f>
        <v>82253.556</v>
      </c>
      <c r="F10" s="41" t="n">
        <f aca="false">'Business Model'!$B$31*'Business Model'!$D$26*'Business Model'!$B$8*(B10-'Business Model'!$B$9)*12/10000000*'Business Model'!$B$11*('Business Model'!$B$12+'Business Model'!$B$13*'Business Model'!$B$14)+'Business Model'!$B$31*'Business Model'!$D$26*'Business Model'!$D$28*'Business Model'!$B$15*12/10000000*'Business Model'!$B$16</f>
        <v>135.94269528</v>
      </c>
      <c r="G10" s="41" t="n">
        <f aca="false">'Business Model'!$B$31*'Business Model'!$D$26*'Business Model'!$B$8*(C10-'Business Model'!$B$9)*12/10000000*'Business Model'!$B$11*('Business Model'!$B$12+'Business Model'!$B$13*'Business Model'!$B$14)+'Business Model'!$B$31*'Business Model'!$D$26*'Business Model'!$D$28*'Business Model'!$B$15*12/10000000*'Business Model'!$B$16</f>
        <v>154.52986248</v>
      </c>
    </row>
    <row r="11" customFormat="false" ht="15" hidden="false" customHeight="false" outlineLevel="0" collapsed="false">
      <c r="A11" s="4" t="s">
        <v>361</v>
      </c>
      <c r="B11" s="17" t="n">
        <v>0.2</v>
      </c>
      <c r="C11" s="17" t="n">
        <v>0.7</v>
      </c>
      <c r="D11" s="40" t="n">
        <f aca="false">'Business Model'!$B$31*'Business Model'!$D$26*'Business Model'!$B$8*('Business Model'!$D$27-'Business Model'!$B$9)*12/10000000</f>
        <v>66230.136</v>
      </c>
      <c r="E11" s="40" t="n">
        <f aca="false">'Business Model'!$B$31*'Business Model'!$D$26*'Business Model'!$B$8*('Business Model'!$D$27-'Business Model'!$B$9)*12/10000000</f>
        <v>66230.136</v>
      </c>
      <c r="F11" s="41" t="n">
        <f aca="false">'Business Model'!$B$31*'Business Model'!$D$26*'Business Model'!$B$8*('Business Model'!$D$27-'Business Model'!$B$9)*12/10000000*B11*('Business Model'!$B$12+'Business Model'!$B$13*'Business Model'!$B$14)+'Business Model'!$B$31*'Business Model'!$D$26*'Business Model'!$D$28*'Business Model'!$B$15*12/10000000*'Business Model'!$B$16</f>
        <v>122.188191552</v>
      </c>
      <c r="G11" s="41" t="n">
        <f aca="false">'Business Model'!$B$31*'Business Model'!$D$26*'Business Model'!$B$8*('Business Model'!$D$27-'Business Model'!$B$9)*12/10000000*C11*('Business Model'!$B$12+'Business Model'!$B$13*'Business Model'!$B$14)+'Business Model'!$B$31*'Business Model'!$D$26*'Business Model'!$D$28*'Business Model'!$B$15*12/10000000*'Business Model'!$B$16</f>
        <v>160.601670432</v>
      </c>
    </row>
    <row r="12" customFormat="false" ht="15" hidden="false" customHeight="false" outlineLevel="0" collapsed="false">
      <c r="A12" s="4" t="s">
        <v>362</v>
      </c>
      <c r="B12" s="17" t="n">
        <v>0.1</v>
      </c>
      <c r="C12" s="17" t="n">
        <v>0.3</v>
      </c>
      <c r="D12" s="40" t="n">
        <f aca="false">'Business Model'!$B$31*'Business Model'!$D$26*'Business Model'!$B$8*('Business Model'!$D$27-'Business Model'!$B$9)*12/10000000</f>
        <v>66230.136</v>
      </c>
      <c r="E12" s="40" t="n">
        <f aca="false">'Business Model'!$B$31*'Business Model'!$D$26*'Business Model'!$B$8*('Business Model'!$D$27-'Business Model'!$B$9)*12/10000000</f>
        <v>66230.136</v>
      </c>
      <c r="F12" s="41" t="n">
        <f aca="false">'Business Model'!$B$31*'Business Model'!$D$26*'Business Model'!$B$8*('Business Model'!$D$27-'Business Model'!$B$9)*12/10000000*'Business Model'!$B$11*('Business Model'!$B$12+'Business Model'!$B$13*'Business Model'!$B$14)+'Business Model'!$B$31*'Business Model'!$D$26*B12*'Business Model'!$B$15*12/10000000*'Business Model'!$B$16</f>
        <v>91.82487888</v>
      </c>
      <c r="G12" s="41" t="n">
        <f aca="false">'Business Model'!$B$31*'Business Model'!$D$26*'Business Model'!$B$8*('Business Model'!$D$27-'Business Model'!$B$9)*12/10000000*'Business Model'!$B$11*('Business Model'!$B$12+'Business Model'!$B$13*'Business Model'!$B$14)+'Business Model'!$B$31*'Business Model'!$D$26*C12*'Business Model'!$B$15*12/10000000*'Business Model'!$B$16</f>
        <v>198.64767888</v>
      </c>
    </row>
    <row r="14" customFormat="false" ht="32.8" hidden="false" customHeight="false" outlineLevel="0" collapsed="false">
      <c r="A14" s="12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364</v>
      </c>
    </row>
    <row r="4" customFormat="false" ht="30" hidden="false" customHeight="true" outlineLevel="0" collapsed="false">
      <c r="A4" s="5" t="s">
        <v>365</v>
      </c>
      <c r="B4" s="5" t="s">
        <v>165</v>
      </c>
      <c r="C4" s="5" t="s">
        <v>366</v>
      </c>
    </row>
    <row r="5" customFormat="false" ht="23.85" hidden="false" customHeight="false" outlineLevel="0" collapsed="false">
      <c r="A5" s="4" t="s">
        <v>367</v>
      </c>
      <c r="B5" s="4" t="s">
        <v>368</v>
      </c>
      <c r="C5" s="4" t="s">
        <v>369</v>
      </c>
    </row>
    <row r="6" customFormat="false" ht="23.85" hidden="false" customHeight="false" outlineLevel="0" collapsed="false">
      <c r="A6" s="4" t="s">
        <v>370</v>
      </c>
      <c r="B6" s="4" t="s">
        <v>371</v>
      </c>
      <c r="C6" s="4" t="s">
        <v>372</v>
      </c>
    </row>
    <row r="7" customFormat="false" ht="23.85" hidden="false" customHeight="false" outlineLevel="0" collapsed="false">
      <c r="A7" s="4" t="s">
        <v>373</v>
      </c>
      <c r="B7" s="4" t="s">
        <v>374</v>
      </c>
      <c r="C7" s="4" t="s">
        <v>375</v>
      </c>
    </row>
    <row r="8" customFormat="false" ht="23.85" hidden="false" customHeight="false" outlineLevel="0" collapsed="false">
      <c r="A8" s="4" t="s">
        <v>376</v>
      </c>
      <c r="B8" s="4" t="s">
        <v>377</v>
      </c>
      <c r="C8" s="4" t="s">
        <v>378</v>
      </c>
    </row>
    <row r="9" customFormat="false" ht="15" hidden="false" customHeight="false" outlineLevel="0" collapsed="false">
      <c r="A9" s="4" t="s">
        <v>379</v>
      </c>
      <c r="B9" s="4" t="s">
        <v>380</v>
      </c>
      <c r="C9" s="4" t="s">
        <v>381</v>
      </c>
    </row>
    <row r="10" customFormat="false" ht="23.85" hidden="false" customHeight="false" outlineLevel="0" collapsed="false">
      <c r="A10" s="4" t="s">
        <v>382</v>
      </c>
      <c r="B10" s="4" t="s">
        <v>383</v>
      </c>
      <c r="C10" s="4" t="s">
        <v>384</v>
      </c>
    </row>
    <row r="11" customFormat="false" ht="23.85" hidden="false" customHeight="false" outlineLevel="0" collapsed="false">
      <c r="A11" s="4" t="s">
        <v>385</v>
      </c>
      <c r="B11" s="4" t="s">
        <v>386</v>
      </c>
      <c r="C11" s="4" t="s">
        <v>387</v>
      </c>
    </row>
    <row r="13" customFormat="false" ht="30" hidden="false" customHeight="true" outlineLevel="0" collapsed="false">
      <c r="A13" s="5" t="s">
        <v>388</v>
      </c>
      <c r="B13" s="5" t="s">
        <v>165</v>
      </c>
      <c r="C13" s="5" t="s">
        <v>389</v>
      </c>
    </row>
    <row r="14" customFormat="false" ht="15" hidden="false" customHeight="false" outlineLevel="0" collapsed="false">
      <c r="A14" s="4" t="s">
        <v>390</v>
      </c>
      <c r="B14" s="42" t="n">
        <v>1500</v>
      </c>
      <c r="C14" s="12" t="s">
        <v>391</v>
      </c>
    </row>
    <row r="15" customFormat="false" ht="15" hidden="false" customHeight="false" outlineLevel="0" collapsed="false">
      <c r="A15" s="4" t="s">
        <v>392</v>
      </c>
      <c r="B15" s="42" t="n">
        <v>10</v>
      </c>
      <c r="C15" s="12" t="s">
        <v>391</v>
      </c>
    </row>
    <row r="16" customFormat="false" ht="15" hidden="false" customHeight="false" outlineLevel="0" collapsed="false">
      <c r="A16" s="4" t="s">
        <v>393</v>
      </c>
      <c r="B16" s="43" t="n">
        <v>0.05</v>
      </c>
      <c r="C16" s="12" t="s">
        <v>394</v>
      </c>
    </row>
    <row r="17" customFormat="false" ht="15" hidden="false" customHeight="false" outlineLevel="0" collapsed="false">
      <c r="A17" s="4" t="s">
        <v>395</v>
      </c>
      <c r="B17" s="43" t="n">
        <v>0.35</v>
      </c>
      <c r="C17" s="12" t="s">
        <v>396</v>
      </c>
    </row>
    <row r="18" customFormat="false" ht="15" hidden="false" customHeight="false" outlineLevel="0" collapsed="false">
      <c r="A18" s="4" t="s">
        <v>397</v>
      </c>
      <c r="B18" s="44" t="n">
        <f aca="false">B14/B15</f>
        <v>150</v>
      </c>
      <c r="C18" s="12"/>
    </row>
    <row r="19" customFormat="false" ht="15" hidden="false" customHeight="false" outlineLevel="0" collapsed="false">
      <c r="A19" s="4" t="s">
        <v>398</v>
      </c>
      <c r="B19" s="44" t="n">
        <f aca="false">1+(B18-1)*B16</f>
        <v>8.45</v>
      </c>
      <c r="C19" s="12" t="s">
        <v>399</v>
      </c>
    </row>
    <row r="20" customFormat="false" ht="15" hidden="false" customHeight="false" outlineLevel="0" collapsed="false">
      <c r="A20" s="4" t="s">
        <v>400</v>
      </c>
      <c r="B20" s="44" t="n">
        <f aca="false">B14/B19</f>
        <v>177.514792899408</v>
      </c>
      <c r="C20" s="12"/>
    </row>
    <row r="21" customFormat="false" ht="15" hidden="false" customHeight="false" outlineLevel="0" collapsed="false">
      <c r="A21" s="4" t="s">
        <v>401</v>
      </c>
      <c r="B21" s="45" t="n">
        <f aca="false">(1.96+0.84)*B17*SQRT(2/B20)</f>
        <v>0.104021664410192</v>
      </c>
      <c r="C21" s="12" t="s">
        <v>402</v>
      </c>
    </row>
    <row r="23" customFormat="false" ht="30" hidden="false" customHeight="true" outlineLevel="0" collapsed="false">
      <c r="A23" s="5" t="s">
        <v>403</v>
      </c>
      <c r="B23" s="5" t="s">
        <v>404</v>
      </c>
      <c r="C23" s="5" t="s">
        <v>405</v>
      </c>
    </row>
    <row r="24" customFormat="false" ht="15" hidden="false" customHeight="false" outlineLevel="0" collapsed="false">
      <c r="A24" s="4" t="s">
        <v>406</v>
      </c>
      <c r="B24" s="4" t="s">
        <v>407</v>
      </c>
      <c r="C24" s="4" t="s">
        <v>408</v>
      </c>
    </row>
    <row r="25" customFormat="false" ht="15" hidden="false" customHeight="false" outlineLevel="0" collapsed="false">
      <c r="A25" s="4" t="s">
        <v>409</v>
      </c>
      <c r="B25" s="4" t="s">
        <v>410</v>
      </c>
      <c r="C25" s="4"/>
    </row>
    <row r="26" customFormat="false" ht="15" hidden="false" customHeight="false" outlineLevel="0" collapsed="false">
      <c r="A26" s="4" t="s">
        <v>411</v>
      </c>
      <c r="B26" s="4" t="s">
        <v>412</v>
      </c>
      <c r="C26" s="4" t="s">
        <v>413</v>
      </c>
    </row>
    <row r="27" customFormat="false" ht="15" hidden="false" customHeight="false" outlineLevel="0" collapsed="false">
      <c r="A27" s="4" t="s">
        <v>414</v>
      </c>
      <c r="B27" s="4" t="s">
        <v>415</v>
      </c>
      <c r="C27" s="4" t="s">
        <v>416</v>
      </c>
    </row>
    <row r="28" customFormat="false" ht="15" hidden="false" customHeight="false" outlineLevel="0" collapsed="false">
      <c r="A28" s="4" t="s">
        <v>417</v>
      </c>
      <c r="B28" s="4" t="s">
        <v>418</v>
      </c>
      <c r="C28" s="4"/>
    </row>
    <row r="29" customFormat="false" ht="15" hidden="false" customHeight="false" outlineLevel="0" collapsed="false">
      <c r="A29" s="4" t="s">
        <v>419</v>
      </c>
      <c r="B29" s="4" t="s">
        <v>420</v>
      </c>
      <c r="C29" s="4" t="s">
        <v>421</v>
      </c>
    </row>
    <row r="30" customFormat="false" ht="15" hidden="false" customHeight="false" outlineLevel="0" collapsed="false">
      <c r="A30" s="4" t="s">
        <v>422</v>
      </c>
      <c r="B30" s="4" t="s">
        <v>423</v>
      </c>
      <c r="C30" s="4"/>
    </row>
    <row r="31" customFormat="false" ht="35.05" hidden="false" customHeight="false" outlineLevel="0" collapsed="false">
      <c r="A31" s="4" t="s">
        <v>424</v>
      </c>
      <c r="B31" s="4" t="s">
        <v>425</v>
      </c>
      <c r="C31" s="4" t="s">
        <v>426</v>
      </c>
    </row>
    <row r="33" customFormat="false" ht="30" hidden="false" customHeight="true" outlineLevel="0" collapsed="false">
      <c r="A33" s="5" t="s">
        <v>427</v>
      </c>
      <c r="B33" s="5" t="s">
        <v>428</v>
      </c>
      <c r="C33" s="5" t="s">
        <v>429</v>
      </c>
    </row>
    <row r="34" customFormat="false" ht="35.05" hidden="false" customHeight="false" outlineLevel="0" collapsed="false">
      <c r="A34" s="4" t="s">
        <v>430</v>
      </c>
      <c r="B34" s="4" t="s">
        <v>431</v>
      </c>
      <c r="C34" s="4" t="s">
        <v>432</v>
      </c>
    </row>
    <row r="35" customFormat="false" ht="15" hidden="false" customHeight="false" outlineLevel="0" collapsed="false">
      <c r="A35" s="4" t="s">
        <v>433</v>
      </c>
      <c r="B35" s="4" t="s">
        <v>434</v>
      </c>
      <c r="C35" s="4" t="s">
        <v>435</v>
      </c>
    </row>
    <row r="36" customFormat="false" ht="23.85" hidden="false" customHeight="false" outlineLevel="0" collapsed="false">
      <c r="A36" s="4" t="s">
        <v>436</v>
      </c>
      <c r="B36" s="4" t="s">
        <v>437</v>
      </c>
      <c r="C36" s="4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439</v>
      </c>
    </row>
    <row r="4" customFormat="false" ht="30" hidden="false" customHeight="true" outlineLevel="0" collapsed="false">
      <c r="A4" s="5" t="s">
        <v>440</v>
      </c>
      <c r="B4" s="5" t="s">
        <v>441</v>
      </c>
      <c r="C4" s="5" t="s">
        <v>442</v>
      </c>
      <c r="D4" s="5"/>
      <c r="E4" s="5"/>
    </row>
    <row r="5" customFormat="false" ht="15" hidden="false" customHeight="false" outlineLevel="0" collapsed="false">
      <c r="A5" s="4" t="s">
        <v>443</v>
      </c>
      <c r="B5" s="4" t="s">
        <v>444</v>
      </c>
      <c r="C5" s="4" t="s">
        <v>445</v>
      </c>
    </row>
    <row r="6" customFormat="false" ht="15" hidden="false" customHeight="false" outlineLevel="0" collapsed="false">
      <c r="A6" s="4" t="s">
        <v>446</v>
      </c>
      <c r="B6" s="4" t="s">
        <v>447</v>
      </c>
      <c r="C6" s="4" t="s">
        <v>448</v>
      </c>
    </row>
    <row r="7" customFormat="false" ht="15" hidden="false" customHeight="false" outlineLevel="0" collapsed="false">
      <c r="A7" s="4" t="s">
        <v>449</v>
      </c>
      <c r="B7" s="4" t="s">
        <v>450</v>
      </c>
      <c r="C7" s="4" t="s">
        <v>451</v>
      </c>
    </row>
    <row r="8" customFormat="false" ht="15" hidden="false" customHeight="false" outlineLevel="0" collapsed="false">
      <c r="A8" s="4" t="s">
        <v>452</v>
      </c>
      <c r="B8" s="4" t="s">
        <v>453</v>
      </c>
      <c r="C8" s="4" t="s">
        <v>454</v>
      </c>
    </row>
    <row r="9" customFormat="false" ht="15" hidden="false" customHeight="false" outlineLevel="0" collapsed="false">
      <c r="A9" s="4" t="s">
        <v>455</v>
      </c>
      <c r="B9" s="4" t="s">
        <v>456</v>
      </c>
      <c r="C9" s="4" t="s">
        <v>457</v>
      </c>
    </row>
    <row r="10" customFormat="false" ht="15" hidden="false" customHeight="false" outlineLevel="0" collapsed="false">
      <c r="A10" s="4" t="s">
        <v>458</v>
      </c>
      <c r="B10" s="4" t="s">
        <v>459</v>
      </c>
      <c r="C10" s="4" t="s">
        <v>460</v>
      </c>
    </row>
    <row r="11" customFormat="false" ht="15" hidden="false" customHeight="false" outlineLevel="0" collapsed="false">
      <c r="A11" s="4" t="s">
        <v>461</v>
      </c>
      <c r="B11" s="4" t="s">
        <v>462</v>
      </c>
      <c r="C11" s="4" t="s">
        <v>463</v>
      </c>
    </row>
    <row r="12" customFormat="false" ht="15" hidden="false" customHeight="false" outlineLevel="0" collapsed="false">
      <c r="A12" s="4" t="s">
        <v>464</v>
      </c>
      <c r="B12" s="4" t="s">
        <v>465</v>
      </c>
      <c r="C12" s="4" t="s">
        <v>466</v>
      </c>
    </row>
    <row r="13" customFormat="false" ht="15" hidden="false" customHeight="false" outlineLevel="0" collapsed="false">
      <c r="A13" s="4" t="s">
        <v>467</v>
      </c>
      <c r="B13" s="4" t="s">
        <v>468</v>
      </c>
      <c r="C13" s="4" t="s">
        <v>469</v>
      </c>
    </row>
    <row r="15" customFormat="false" ht="30" hidden="false" customHeight="true" outlineLevel="0" collapsed="false">
      <c r="A15" s="5" t="s">
        <v>470</v>
      </c>
      <c r="B15" s="5" t="s">
        <v>441</v>
      </c>
      <c r="C15" s="5" t="s">
        <v>471</v>
      </c>
      <c r="D15" s="5"/>
      <c r="E15" s="5"/>
    </row>
    <row r="16" customFormat="false" ht="15" hidden="false" customHeight="false" outlineLevel="0" collapsed="false">
      <c r="A16" s="4" t="s">
        <v>472</v>
      </c>
      <c r="B16" s="4" t="s">
        <v>473</v>
      </c>
      <c r="C16" s="4" t="s">
        <v>474</v>
      </c>
    </row>
    <row r="17" customFormat="false" ht="15" hidden="false" customHeight="false" outlineLevel="0" collapsed="false">
      <c r="A17" s="4" t="s">
        <v>475</v>
      </c>
      <c r="B17" s="4" t="s">
        <v>476</v>
      </c>
      <c r="C17" s="4" t="s">
        <v>477</v>
      </c>
    </row>
    <row r="18" customFormat="false" ht="23.85" hidden="false" customHeight="false" outlineLevel="0" collapsed="false">
      <c r="A18" s="4" t="s">
        <v>478</v>
      </c>
      <c r="B18" s="4" t="s">
        <v>479</v>
      </c>
      <c r="C18" s="4" t="s">
        <v>480</v>
      </c>
    </row>
    <row r="19" customFormat="false" ht="15" hidden="false" customHeight="false" outlineLevel="0" collapsed="false">
      <c r="A19" s="4" t="s">
        <v>481</v>
      </c>
      <c r="B19" s="4" t="s">
        <v>482</v>
      </c>
      <c r="C19" s="4" t="s">
        <v>483</v>
      </c>
    </row>
    <row r="21" customFormat="false" ht="30" hidden="false" customHeight="true" outlineLevel="0" collapsed="false">
      <c r="A21" s="5" t="s">
        <v>484</v>
      </c>
      <c r="B21" s="5" t="s">
        <v>485</v>
      </c>
      <c r="C21" s="5" t="s">
        <v>486</v>
      </c>
      <c r="D21" s="5" t="s">
        <v>487</v>
      </c>
      <c r="E21" s="5" t="s">
        <v>337</v>
      </c>
    </row>
    <row r="22" customFormat="false" ht="15" hidden="false" customHeight="false" outlineLevel="0" collapsed="false">
      <c r="A22" s="4" t="s">
        <v>488</v>
      </c>
      <c r="B22" s="4" t="s">
        <v>489</v>
      </c>
      <c r="C22" s="4" t="s">
        <v>490</v>
      </c>
      <c r="D22" s="4" t="s">
        <v>57</v>
      </c>
      <c r="E22" s="4" t="s">
        <v>491</v>
      </c>
    </row>
    <row r="23" customFormat="false" ht="23.85" hidden="false" customHeight="false" outlineLevel="0" collapsed="false">
      <c r="A23" s="4" t="s">
        <v>492</v>
      </c>
      <c r="B23" s="4" t="s">
        <v>489</v>
      </c>
      <c r="C23" s="4" t="s">
        <v>493</v>
      </c>
      <c r="D23" s="4" t="s">
        <v>57</v>
      </c>
      <c r="E23" s="4" t="s">
        <v>494</v>
      </c>
    </row>
    <row r="24" customFormat="false" ht="15" hidden="false" customHeight="false" outlineLevel="0" collapsed="false">
      <c r="A24" s="4" t="s">
        <v>495</v>
      </c>
      <c r="B24" s="4" t="s">
        <v>496</v>
      </c>
      <c r="C24" s="4" t="s">
        <v>490</v>
      </c>
      <c r="D24" s="4" t="s">
        <v>57</v>
      </c>
      <c r="E24" s="4" t="s">
        <v>497</v>
      </c>
    </row>
    <row r="25" customFormat="false" ht="23.85" hidden="false" customHeight="false" outlineLevel="0" collapsed="false">
      <c r="A25" s="4" t="s">
        <v>498</v>
      </c>
      <c r="B25" s="4" t="s">
        <v>489</v>
      </c>
      <c r="C25" s="4" t="s">
        <v>493</v>
      </c>
      <c r="D25" s="4" t="s">
        <v>57</v>
      </c>
      <c r="E25" s="4" t="s">
        <v>499</v>
      </c>
    </row>
    <row r="26" customFormat="false" ht="15" hidden="false" customHeight="false" outlineLevel="0" collapsed="false">
      <c r="A26" s="4" t="s">
        <v>500</v>
      </c>
      <c r="B26" s="4" t="s">
        <v>501</v>
      </c>
      <c r="C26" s="4" t="s">
        <v>493</v>
      </c>
      <c r="D26" s="4" t="s">
        <v>57</v>
      </c>
      <c r="E26" s="4" t="s">
        <v>502</v>
      </c>
    </row>
    <row r="27" customFormat="false" ht="15" hidden="false" customHeight="false" outlineLevel="0" collapsed="false">
      <c r="A27" s="4" t="s">
        <v>503</v>
      </c>
      <c r="B27" s="4" t="s">
        <v>501</v>
      </c>
      <c r="C27" s="4" t="s">
        <v>493</v>
      </c>
      <c r="D27" s="4" t="s">
        <v>57</v>
      </c>
      <c r="E27" s="4" t="s">
        <v>504</v>
      </c>
    </row>
    <row r="28" customFormat="false" ht="15" hidden="false" customHeight="false" outlineLevel="0" collapsed="false">
      <c r="A28" s="4" t="s">
        <v>505</v>
      </c>
      <c r="B28" s="4" t="s">
        <v>489</v>
      </c>
      <c r="C28" s="4" t="s">
        <v>490</v>
      </c>
      <c r="D28" s="4" t="s">
        <v>57</v>
      </c>
      <c r="E28" s="4" t="s">
        <v>506</v>
      </c>
    </row>
    <row r="29" customFormat="false" ht="23.85" hidden="false" customHeight="false" outlineLevel="0" collapsed="false">
      <c r="A29" s="4" t="s">
        <v>507</v>
      </c>
      <c r="B29" s="4" t="s">
        <v>508</v>
      </c>
      <c r="C29" s="4" t="s">
        <v>509</v>
      </c>
      <c r="D29" s="4" t="s">
        <v>510</v>
      </c>
      <c r="E29" s="4"/>
    </row>
    <row r="30" customFormat="false" ht="23.85" hidden="false" customHeight="false" outlineLevel="0" collapsed="false">
      <c r="A30" s="4" t="s">
        <v>511</v>
      </c>
      <c r="B30" s="4" t="s">
        <v>512</v>
      </c>
      <c r="C30" s="4" t="s">
        <v>509</v>
      </c>
      <c r="D30" s="4" t="s">
        <v>513</v>
      </c>
      <c r="E30" s="4" t="s">
        <v>514</v>
      </c>
    </row>
    <row r="31" customFormat="false" ht="15" hidden="false" customHeight="false" outlineLevel="0" collapsed="false">
      <c r="A31" s="4" t="s">
        <v>515</v>
      </c>
      <c r="B31" s="4" t="s">
        <v>489</v>
      </c>
      <c r="C31" s="4" t="s">
        <v>493</v>
      </c>
      <c r="D31" s="4" t="s">
        <v>516</v>
      </c>
      <c r="E31" s="4"/>
    </row>
    <row r="33" customFormat="false" ht="30" hidden="false" customHeight="true" outlineLevel="0" collapsed="false">
      <c r="A33" s="5" t="s">
        <v>517</v>
      </c>
      <c r="B33" s="5" t="s">
        <v>518</v>
      </c>
      <c r="C33" s="5" t="s">
        <v>519</v>
      </c>
      <c r="D33" s="5" t="s">
        <v>520</v>
      </c>
      <c r="E33" s="5"/>
    </row>
    <row r="34" customFormat="false" ht="23.85" hidden="false" customHeight="false" outlineLevel="0" collapsed="false">
      <c r="A34" s="4" t="s">
        <v>521</v>
      </c>
      <c r="B34" s="4" t="s">
        <v>522</v>
      </c>
      <c r="C34" s="4" t="s">
        <v>523</v>
      </c>
      <c r="D34" s="4" t="s">
        <v>524</v>
      </c>
    </row>
    <row r="35" customFormat="false" ht="15" hidden="false" customHeight="false" outlineLevel="0" collapsed="false">
      <c r="A35" s="4" t="s">
        <v>525</v>
      </c>
      <c r="B35" s="4" t="s">
        <v>526</v>
      </c>
      <c r="C35" s="4" t="s">
        <v>527</v>
      </c>
      <c r="D35" s="4" t="s">
        <v>528</v>
      </c>
    </row>
    <row r="36" customFormat="false" ht="15" hidden="false" customHeight="false" outlineLevel="0" collapsed="false">
      <c r="A36" s="4" t="s">
        <v>529</v>
      </c>
      <c r="B36" s="4" t="s">
        <v>530</v>
      </c>
      <c r="C36" s="4" t="s">
        <v>531</v>
      </c>
      <c r="D36" s="4" t="s">
        <v>532</v>
      </c>
    </row>
    <row r="37" customFormat="false" ht="23.85" hidden="false" customHeight="false" outlineLevel="0" collapsed="false">
      <c r="A37" s="4" t="s">
        <v>533</v>
      </c>
      <c r="B37" s="4" t="s">
        <v>534</v>
      </c>
      <c r="C37" s="4" t="s">
        <v>535</v>
      </c>
      <c r="D37" s="4" t="s">
        <v>536</v>
      </c>
    </row>
    <row r="38" customFormat="false" ht="15" hidden="false" customHeight="false" outlineLevel="0" collapsed="false">
      <c r="A38" s="4" t="s">
        <v>537</v>
      </c>
      <c r="B38" s="4" t="s">
        <v>538</v>
      </c>
      <c r="C38" s="4" t="s">
        <v>539</v>
      </c>
      <c r="D38" s="4" t="s">
        <v>528</v>
      </c>
    </row>
    <row r="39" customFormat="false" ht="15" hidden="false" customHeight="false" outlineLevel="0" collapsed="false">
      <c r="A39" s="4" t="s">
        <v>540</v>
      </c>
      <c r="B39" s="4" t="s">
        <v>541</v>
      </c>
      <c r="C39" s="4" t="s">
        <v>542</v>
      </c>
      <c r="D39" s="4" t="s">
        <v>536</v>
      </c>
    </row>
    <row r="40" customFormat="false" ht="15" hidden="false" customHeight="false" outlineLevel="0" collapsed="false">
      <c r="A40" s="4" t="s">
        <v>543</v>
      </c>
      <c r="B40" s="4" t="s">
        <v>544</v>
      </c>
      <c r="C40" s="4" t="s">
        <v>545</v>
      </c>
      <c r="D40" s="4" t="s">
        <v>546</v>
      </c>
    </row>
    <row r="41" customFormat="false" ht="15" hidden="false" customHeight="false" outlineLevel="0" collapsed="false">
      <c r="A41" s="4" t="s">
        <v>547</v>
      </c>
      <c r="B41" s="4" t="s">
        <v>548</v>
      </c>
      <c r="C41" s="4" t="s">
        <v>549</v>
      </c>
      <c r="D41" s="4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8" min="1" style="0" width="16"/>
  </cols>
  <sheetData>
    <row r="1" customFormat="false" ht="17.35" hidden="false" customHeight="false" outlineLevel="0" collapsed="false">
      <c r="A1" s="1" t="s">
        <v>551</v>
      </c>
    </row>
    <row r="3" customFormat="false" ht="102.2" hidden="false" customHeight="false" outlineLevel="0" collapsed="false">
      <c r="A3" s="9" t="s">
        <v>552</v>
      </c>
      <c r="B3" s="9" t="s">
        <v>31</v>
      </c>
      <c r="C3" s="9" t="s">
        <v>553</v>
      </c>
      <c r="D3" s="9" t="s">
        <v>554</v>
      </c>
      <c r="E3" s="9" t="s">
        <v>555</v>
      </c>
      <c r="F3" s="9" t="s">
        <v>556</v>
      </c>
      <c r="G3" s="9" t="s">
        <v>557</v>
      </c>
      <c r="H3" s="9" t="s">
        <v>558</v>
      </c>
      <c r="I3" s="9" t="s">
        <v>559</v>
      </c>
      <c r="J3" s="9" t="s">
        <v>560</v>
      </c>
      <c r="K3" s="9" t="s">
        <v>561</v>
      </c>
      <c r="L3" s="9" t="s">
        <v>562</v>
      </c>
      <c r="M3" s="9" t="s">
        <v>563</v>
      </c>
      <c r="N3" s="9" t="s">
        <v>564</v>
      </c>
      <c r="O3" s="9" t="s">
        <v>565</v>
      </c>
      <c r="P3" s="9" t="s">
        <v>566</v>
      </c>
      <c r="Q3" s="9" t="s">
        <v>567</v>
      </c>
      <c r="R3" s="9" t="s">
        <v>568</v>
      </c>
      <c r="S3" s="9" t="s">
        <v>569</v>
      </c>
      <c r="T3" s="9" t="s">
        <v>570</v>
      </c>
      <c r="U3" s="9" t="s">
        <v>571</v>
      </c>
      <c r="V3" s="9" t="s">
        <v>572</v>
      </c>
      <c r="W3" s="9" t="s">
        <v>573</v>
      </c>
      <c r="X3" s="9" t="s">
        <v>574</v>
      </c>
      <c r="Y3" s="9" t="s">
        <v>575</v>
      </c>
      <c r="Z3" s="9" t="s">
        <v>576</v>
      </c>
      <c r="AA3" s="9" t="s">
        <v>577</v>
      </c>
      <c r="AB3" s="9" t="s">
        <v>578</v>
      </c>
      <c r="AC3" s="9" t="s">
        <v>579</v>
      </c>
      <c r="AD3" s="9" t="s">
        <v>580</v>
      </c>
      <c r="AE3" s="9" t="s">
        <v>581</v>
      </c>
      <c r="AF3" s="9" t="s">
        <v>582</v>
      </c>
      <c r="AG3" s="9" t="s">
        <v>583</v>
      </c>
      <c r="AH3" s="9" t="s">
        <v>584</v>
      </c>
      <c r="AI3" s="9" t="s">
        <v>585</v>
      </c>
      <c r="AJ3" s="9" t="s">
        <v>586</v>
      </c>
      <c r="AK3" s="9" t="s">
        <v>587</v>
      </c>
      <c r="AL3" s="9" t="s">
        <v>588</v>
      </c>
    </row>
    <row r="4" customFormat="false" ht="91" hidden="false" customHeight="false" outlineLevel="0" collapsed="false">
      <c r="A4" s="4" t="s">
        <v>589</v>
      </c>
      <c r="B4" s="46" t="n">
        <v>46289</v>
      </c>
      <c r="C4" s="4" t="s">
        <v>590</v>
      </c>
      <c r="D4" s="4" t="s">
        <v>87</v>
      </c>
      <c r="E4" s="4" t="s">
        <v>54</v>
      </c>
      <c r="F4" s="4" t="s">
        <v>591</v>
      </c>
      <c r="G4" s="4" t="s">
        <v>58</v>
      </c>
      <c r="H4" s="4" t="s">
        <v>592</v>
      </c>
      <c r="I4" s="4" t="s">
        <v>593</v>
      </c>
      <c r="J4" s="4" t="s">
        <v>594</v>
      </c>
      <c r="K4" s="4" t="s">
        <v>595</v>
      </c>
      <c r="L4" s="4" t="s">
        <v>592</v>
      </c>
      <c r="M4" s="4" t="s">
        <v>596</v>
      </c>
      <c r="N4" s="4" t="s">
        <v>55</v>
      </c>
      <c r="O4" s="4" t="s">
        <v>66</v>
      </c>
      <c r="P4" s="4" t="s">
        <v>597</v>
      </c>
      <c r="Q4" s="4" t="n">
        <v>300000</v>
      </c>
      <c r="R4" s="4" t="s">
        <v>598</v>
      </c>
      <c r="S4" s="4" t="n">
        <v>4</v>
      </c>
      <c r="T4" s="4" t="n">
        <v>40000</v>
      </c>
      <c r="U4" s="4" t="s">
        <v>58</v>
      </c>
      <c r="V4" s="4" t="s">
        <v>599</v>
      </c>
      <c r="W4" s="4" t="n">
        <v>1</v>
      </c>
      <c r="X4" s="4" t="n">
        <v>12000</v>
      </c>
      <c r="Y4" s="4" t="s">
        <v>117</v>
      </c>
      <c r="Z4" s="4"/>
      <c r="AA4" s="4"/>
      <c r="AB4" s="4"/>
      <c r="AC4" s="4"/>
      <c r="AD4" s="4" t="s">
        <v>594</v>
      </c>
      <c r="AE4" s="4" t="s">
        <v>63</v>
      </c>
      <c r="AF4" s="4" t="n">
        <v>5</v>
      </c>
      <c r="AG4" s="4" t="s">
        <v>57</v>
      </c>
      <c r="AH4" s="4" t="s">
        <v>57</v>
      </c>
      <c r="AI4" s="4" t="n">
        <v>160000</v>
      </c>
      <c r="AJ4" s="4" t="n">
        <v>0</v>
      </c>
      <c r="AK4" s="4" t="n">
        <v>0</v>
      </c>
      <c r="AL4" s="4" t="n">
        <v>1</v>
      </c>
    </row>
    <row r="5" customFormat="false" ht="102.2" hidden="false" customHeight="false" outlineLevel="0" collapsed="false">
      <c r="A5" s="4" t="s">
        <v>600</v>
      </c>
      <c r="B5" s="46" t="n">
        <v>46289</v>
      </c>
      <c r="C5" s="4" t="s">
        <v>590</v>
      </c>
      <c r="D5" s="4" t="s">
        <v>87</v>
      </c>
      <c r="E5" s="4" t="s">
        <v>95</v>
      </c>
      <c r="F5" s="4" t="s">
        <v>601</v>
      </c>
      <c r="G5" s="4" t="s">
        <v>96</v>
      </c>
      <c r="H5" s="4" t="s">
        <v>602</v>
      </c>
      <c r="I5" s="4" t="s">
        <v>603</v>
      </c>
      <c r="J5" s="4" t="s">
        <v>604</v>
      </c>
      <c r="K5" s="4" t="s">
        <v>605</v>
      </c>
      <c r="L5" s="4" t="s">
        <v>602</v>
      </c>
      <c r="M5" s="4" t="s">
        <v>596</v>
      </c>
      <c r="N5" s="4" t="s">
        <v>55</v>
      </c>
      <c r="O5" s="4" t="s">
        <v>56</v>
      </c>
      <c r="P5" s="4" t="s">
        <v>597</v>
      </c>
      <c r="Q5" s="4" t="n">
        <v>500000</v>
      </c>
      <c r="R5" s="4" t="s">
        <v>598</v>
      </c>
      <c r="S5" s="4" t="n">
        <v>8</v>
      </c>
      <c r="T5" s="4" t="n">
        <v>45000</v>
      </c>
      <c r="U5" s="4" t="s">
        <v>96</v>
      </c>
      <c r="V5" s="4" t="s">
        <v>606</v>
      </c>
      <c r="W5" s="4" t="n">
        <v>1</v>
      </c>
      <c r="X5" s="4" t="n">
        <v>15000</v>
      </c>
      <c r="Y5" s="4" t="s">
        <v>607</v>
      </c>
      <c r="Z5" s="4"/>
      <c r="AA5" s="4"/>
      <c r="AB5" s="4"/>
      <c r="AC5" s="4"/>
      <c r="AD5" s="4" t="s">
        <v>608</v>
      </c>
      <c r="AE5" s="4" t="s">
        <v>57</v>
      </c>
      <c r="AF5" s="4" t="n">
        <v>4</v>
      </c>
      <c r="AG5" s="4" t="s">
        <v>57</v>
      </c>
      <c r="AH5" s="4" t="s">
        <v>609</v>
      </c>
      <c r="AI5" s="4" t="n">
        <v>360000</v>
      </c>
      <c r="AJ5" s="4" t="n">
        <v>0</v>
      </c>
      <c r="AK5" s="4" t="n">
        <v>0</v>
      </c>
      <c r="AL5" s="4" t="n">
        <v>1</v>
      </c>
    </row>
    <row r="6" customFormat="false" ht="91" hidden="false" customHeight="false" outlineLevel="0" collapsed="false">
      <c r="A6" s="4" t="s">
        <v>610</v>
      </c>
      <c r="B6" s="46" t="n">
        <v>46289</v>
      </c>
      <c r="C6" s="4" t="s">
        <v>590</v>
      </c>
      <c r="D6" s="4" t="s">
        <v>611</v>
      </c>
      <c r="E6" s="4" t="s">
        <v>612</v>
      </c>
      <c r="F6" s="4" t="s">
        <v>613</v>
      </c>
      <c r="G6" s="4" t="s">
        <v>58</v>
      </c>
      <c r="H6" s="4" t="s">
        <v>614</v>
      </c>
      <c r="I6" s="4" t="s">
        <v>593</v>
      </c>
      <c r="J6" s="4" t="s">
        <v>615</v>
      </c>
      <c r="K6" s="4" t="s">
        <v>616</v>
      </c>
      <c r="L6" s="4" t="s">
        <v>614</v>
      </c>
      <c r="M6" s="4" t="s">
        <v>596</v>
      </c>
      <c r="N6" s="4"/>
      <c r="O6" s="4" t="s">
        <v>66</v>
      </c>
      <c r="P6" s="4" t="s">
        <v>617</v>
      </c>
      <c r="Q6" s="4" t="n">
        <v>150000</v>
      </c>
      <c r="R6" s="4" t="s">
        <v>618</v>
      </c>
      <c r="S6" s="4" t="n">
        <v>30</v>
      </c>
      <c r="T6" s="4" t="n">
        <v>2000</v>
      </c>
      <c r="U6" s="4" t="s">
        <v>117</v>
      </c>
      <c r="V6" s="4" t="s">
        <v>618</v>
      </c>
      <c r="W6" s="4" t="n">
        <v>30</v>
      </c>
      <c r="X6" s="4" t="n">
        <v>1500</v>
      </c>
      <c r="Y6" s="4" t="s">
        <v>58</v>
      </c>
      <c r="Z6" s="4"/>
      <c r="AA6" s="4"/>
      <c r="AB6" s="4"/>
      <c r="AC6" s="4"/>
      <c r="AD6" s="4" t="s">
        <v>615</v>
      </c>
      <c r="AE6" s="4" t="s">
        <v>63</v>
      </c>
      <c r="AF6" s="4" t="n">
        <v>4</v>
      </c>
      <c r="AG6" s="4" t="s">
        <v>57</v>
      </c>
      <c r="AH6" s="4" t="s">
        <v>57</v>
      </c>
      <c r="AI6" s="4" t="n">
        <v>45000</v>
      </c>
      <c r="AJ6" s="4" t="n">
        <v>0</v>
      </c>
      <c r="AK6" s="4" t="n">
        <v>0</v>
      </c>
      <c r="AL6" s="4" t="n">
        <v>1</v>
      </c>
    </row>
    <row r="7" customFormat="false" ht="102.2" hidden="false" customHeight="false" outlineLevel="0" collapsed="false">
      <c r="A7" s="4" t="s">
        <v>619</v>
      </c>
      <c r="B7" s="46" t="n">
        <v>46289</v>
      </c>
      <c r="C7" s="4" t="s">
        <v>590</v>
      </c>
      <c r="D7" s="4" t="s">
        <v>116</v>
      </c>
      <c r="E7" s="4" t="s">
        <v>103</v>
      </c>
      <c r="F7" s="4" t="s">
        <v>620</v>
      </c>
      <c r="G7" s="4" t="s">
        <v>58</v>
      </c>
      <c r="H7" s="4" t="s">
        <v>621</v>
      </c>
      <c r="I7" s="4" t="s">
        <v>622</v>
      </c>
      <c r="J7" s="4" t="s">
        <v>594</v>
      </c>
      <c r="K7" s="4" t="s">
        <v>623</v>
      </c>
      <c r="L7" s="4" t="s">
        <v>621</v>
      </c>
      <c r="M7" s="4" t="s">
        <v>596</v>
      </c>
      <c r="N7" s="4" t="s">
        <v>55</v>
      </c>
      <c r="O7" s="4" t="s">
        <v>624</v>
      </c>
      <c r="P7" s="4" t="s">
        <v>597</v>
      </c>
      <c r="Q7" s="4" t="n">
        <v>80000</v>
      </c>
      <c r="R7" s="4" t="s">
        <v>598</v>
      </c>
      <c r="S7" s="4" t="n">
        <v>30</v>
      </c>
      <c r="T7" s="4" t="n">
        <v>2000</v>
      </c>
      <c r="U7" s="4" t="s">
        <v>58</v>
      </c>
      <c r="V7" s="4" t="s">
        <v>618</v>
      </c>
      <c r="W7" s="4" t="n">
        <v>4</v>
      </c>
      <c r="X7" s="4" t="n">
        <v>5000</v>
      </c>
      <c r="Y7" s="4" t="s">
        <v>96</v>
      </c>
      <c r="Z7" s="4"/>
      <c r="AA7" s="4"/>
      <c r="AB7" s="4"/>
      <c r="AC7" s="4"/>
      <c r="AD7" s="4" t="s">
        <v>594</v>
      </c>
      <c r="AE7" s="4" t="s">
        <v>63</v>
      </c>
      <c r="AF7" s="4" t="n">
        <v>3</v>
      </c>
      <c r="AG7" s="4" t="s">
        <v>67</v>
      </c>
      <c r="AH7" s="4" t="s">
        <v>63</v>
      </c>
      <c r="AI7" s="4" t="n">
        <v>80000</v>
      </c>
      <c r="AJ7" s="4" t="n">
        <v>0</v>
      </c>
      <c r="AK7" s="4" t="n">
        <v>0</v>
      </c>
      <c r="AL7" s="4" t="n">
        <v>0</v>
      </c>
    </row>
    <row r="8" customFormat="false" ht="91" hidden="false" customHeight="false" outlineLevel="0" collapsed="false">
      <c r="A8" s="4" t="s">
        <v>625</v>
      </c>
      <c r="B8" s="46" t="n">
        <v>46289</v>
      </c>
      <c r="C8" s="4" t="s">
        <v>590</v>
      </c>
      <c r="D8" s="4" t="s">
        <v>65</v>
      </c>
      <c r="E8" s="4" t="s">
        <v>91</v>
      </c>
      <c r="F8" s="4" t="s">
        <v>626</v>
      </c>
      <c r="G8" s="4" t="s">
        <v>96</v>
      </c>
      <c r="H8" s="4" t="s">
        <v>627</v>
      </c>
      <c r="I8" s="4" t="s">
        <v>593</v>
      </c>
      <c r="J8" s="4" t="s">
        <v>628</v>
      </c>
      <c r="K8" s="4" t="s">
        <v>629</v>
      </c>
      <c r="L8" s="4" t="s">
        <v>627</v>
      </c>
      <c r="M8" s="4" t="s">
        <v>596</v>
      </c>
      <c r="N8" s="4"/>
      <c r="O8" s="4" t="s">
        <v>66</v>
      </c>
      <c r="P8" s="4" t="s">
        <v>630</v>
      </c>
      <c r="Q8" s="4" t="n">
        <v>250000</v>
      </c>
      <c r="R8" s="4" t="s">
        <v>598</v>
      </c>
      <c r="S8" s="4" t="n">
        <v>5</v>
      </c>
      <c r="T8" s="4" t="n">
        <v>30000</v>
      </c>
      <c r="U8" s="4" t="s">
        <v>96</v>
      </c>
      <c r="V8" s="4" t="s">
        <v>606</v>
      </c>
      <c r="W8" s="4" t="n">
        <v>1</v>
      </c>
      <c r="X8" s="4" t="n">
        <v>20000</v>
      </c>
      <c r="Y8" s="4" t="s">
        <v>58</v>
      </c>
      <c r="Z8" s="4"/>
      <c r="AA8" s="4"/>
      <c r="AB8" s="4"/>
      <c r="AC8" s="4"/>
      <c r="AD8" s="4" t="s">
        <v>631</v>
      </c>
      <c r="AE8" s="4" t="s">
        <v>63</v>
      </c>
      <c r="AF8" s="4" t="n">
        <v>5</v>
      </c>
      <c r="AG8" s="4" t="s">
        <v>57</v>
      </c>
      <c r="AH8" s="4" t="s">
        <v>609</v>
      </c>
      <c r="AI8" s="4" t="n">
        <v>170000</v>
      </c>
      <c r="AJ8" s="4" t="n">
        <v>0</v>
      </c>
      <c r="AK8" s="4" t="n">
        <v>0</v>
      </c>
      <c r="AL8" s="4" t="n">
        <v>1</v>
      </c>
    </row>
    <row r="9" customFormat="false" ht="91" hidden="false" customHeight="false" outlineLevel="0" collapsed="false">
      <c r="A9" s="4" t="s">
        <v>632</v>
      </c>
      <c r="B9" s="46" t="n">
        <v>46289</v>
      </c>
      <c r="C9" s="4" t="s">
        <v>590</v>
      </c>
      <c r="D9" s="4" t="s">
        <v>75</v>
      </c>
      <c r="E9" s="4" t="s">
        <v>633</v>
      </c>
      <c r="F9" s="4" t="s">
        <v>634</v>
      </c>
      <c r="G9" s="4" t="s">
        <v>635</v>
      </c>
      <c r="H9" s="4" t="s">
        <v>636</v>
      </c>
      <c r="I9" s="4" t="s">
        <v>637</v>
      </c>
      <c r="J9" s="4" t="s">
        <v>638</v>
      </c>
      <c r="K9" s="4" t="s">
        <v>639</v>
      </c>
      <c r="L9" s="4" t="s">
        <v>636</v>
      </c>
      <c r="M9" s="4" t="s">
        <v>596</v>
      </c>
      <c r="N9" s="4" t="s">
        <v>55</v>
      </c>
      <c r="O9" s="4" t="s">
        <v>640</v>
      </c>
      <c r="P9" s="4" t="s">
        <v>597</v>
      </c>
      <c r="Q9" s="4" t="n">
        <v>400000</v>
      </c>
      <c r="R9" s="4" t="s">
        <v>598</v>
      </c>
      <c r="S9" s="4" t="n">
        <v>3</v>
      </c>
      <c r="T9" s="4" t="n">
        <v>80000</v>
      </c>
      <c r="U9" s="4" t="s">
        <v>607</v>
      </c>
      <c r="V9" s="4" t="s">
        <v>599</v>
      </c>
      <c r="W9" s="4" t="n">
        <v>1</v>
      </c>
      <c r="X9" s="4" t="n">
        <v>15000</v>
      </c>
      <c r="Y9" s="4" t="s">
        <v>117</v>
      </c>
      <c r="Z9" s="4"/>
      <c r="AA9" s="4"/>
      <c r="AB9" s="4"/>
      <c r="AC9" s="4"/>
      <c r="AD9" s="4" t="s">
        <v>641</v>
      </c>
      <c r="AE9" s="4" t="s">
        <v>57</v>
      </c>
      <c r="AF9" s="4" t="n">
        <v>4</v>
      </c>
      <c r="AG9" s="4" t="s">
        <v>57</v>
      </c>
      <c r="AH9" s="4" t="s">
        <v>57</v>
      </c>
      <c r="AI9" s="4" t="n">
        <v>0</v>
      </c>
      <c r="AJ9" s="4" t="n">
        <v>0</v>
      </c>
      <c r="AK9" s="4"/>
      <c r="AL9" s="4" t="n">
        <v>0</v>
      </c>
    </row>
    <row r="10" customFormat="false" ht="91" hidden="false" customHeight="false" outlineLevel="0" collapsed="false">
      <c r="A10" s="4" t="s">
        <v>642</v>
      </c>
      <c r="B10" s="46" t="n">
        <v>46289</v>
      </c>
      <c r="C10" s="4" t="s">
        <v>590</v>
      </c>
      <c r="D10" s="4" t="s">
        <v>643</v>
      </c>
      <c r="E10" s="4" t="s">
        <v>612</v>
      </c>
      <c r="F10" s="4" t="s">
        <v>644</v>
      </c>
      <c r="G10" s="4" t="s">
        <v>58</v>
      </c>
      <c r="H10" s="4"/>
      <c r="I10" s="4" t="s">
        <v>593</v>
      </c>
      <c r="J10" s="4" t="s">
        <v>645</v>
      </c>
      <c r="K10" s="4" t="s">
        <v>646</v>
      </c>
      <c r="L10" s="4" t="s">
        <v>647</v>
      </c>
      <c r="M10" s="4" t="s">
        <v>596</v>
      </c>
      <c r="N10" s="4"/>
      <c r="O10" s="4" t="s">
        <v>66</v>
      </c>
      <c r="P10" s="4" t="s">
        <v>648</v>
      </c>
      <c r="Q10" s="4" t="n">
        <v>200000</v>
      </c>
      <c r="R10" s="4" t="s">
        <v>618</v>
      </c>
      <c r="S10" s="4" t="n">
        <v>30</v>
      </c>
      <c r="T10" s="4" t="n">
        <v>3000</v>
      </c>
      <c r="U10" s="4" t="s">
        <v>117</v>
      </c>
      <c r="V10" s="4" t="s">
        <v>598</v>
      </c>
      <c r="W10" s="4" t="n">
        <v>4</v>
      </c>
      <c r="X10" s="4" t="n">
        <v>25000</v>
      </c>
      <c r="Y10" s="4" t="s">
        <v>58</v>
      </c>
      <c r="Z10" s="4"/>
      <c r="AA10" s="4"/>
      <c r="AB10" s="4"/>
      <c r="AC10" s="4"/>
      <c r="AD10" s="4" t="s">
        <v>247</v>
      </c>
      <c r="AE10" s="4" t="s">
        <v>63</v>
      </c>
      <c r="AF10" s="4" t="n">
        <v>4</v>
      </c>
      <c r="AG10" s="4" t="s">
        <v>67</v>
      </c>
      <c r="AH10" s="4" t="s">
        <v>57</v>
      </c>
      <c r="AI10" s="4" t="n">
        <v>100000</v>
      </c>
      <c r="AJ10" s="4" t="n">
        <v>0</v>
      </c>
      <c r="AK10" s="4" t="n">
        <v>0</v>
      </c>
      <c r="AL10" s="4" t="n">
        <v>1</v>
      </c>
    </row>
    <row r="11" customFormat="false" ht="91" hidden="false" customHeight="false" outlineLevel="0" collapsed="false">
      <c r="A11" s="4" t="s">
        <v>649</v>
      </c>
      <c r="B11" s="46" t="n">
        <v>46289</v>
      </c>
      <c r="C11" s="4" t="s">
        <v>590</v>
      </c>
      <c r="D11" s="4" t="s">
        <v>53</v>
      </c>
      <c r="E11" s="4" t="s">
        <v>650</v>
      </c>
      <c r="F11" s="4" t="s">
        <v>626</v>
      </c>
      <c r="G11" s="4" t="s">
        <v>96</v>
      </c>
      <c r="H11" s="4" t="s">
        <v>651</v>
      </c>
      <c r="I11" s="4" t="s">
        <v>593</v>
      </c>
      <c r="J11" s="4" t="s">
        <v>594</v>
      </c>
      <c r="K11" s="4" t="s">
        <v>595</v>
      </c>
      <c r="L11" s="4" t="s">
        <v>651</v>
      </c>
      <c r="M11" s="4" t="s">
        <v>596</v>
      </c>
      <c r="N11" s="4" t="s">
        <v>55</v>
      </c>
      <c r="O11" s="4" t="s">
        <v>66</v>
      </c>
      <c r="P11" s="4" t="s">
        <v>597</v>
      </c>
      <c r="Q11" s="4" t="n">
        <v>100000</v>
      </c>
      <c r="R11" s="4" t="s">
        <v>598</v>
      </c>
      <c r="S11" s="4" t="n">
        <v>2</v>
      </c>
      <c r="T11" s="4" t="n">
        <v>40000</v>
      </c>
      <c r="U11" s="4" t="s">
        <v>96</v>
      </c>
      <c r="V11" s="4" t="s">
        <v>606</v>
      </c>
      <c r="W11" s="4" t="n">
        <v>1</v>
      </c>
      <c r="X11" s="4" t="n">
        <v>12000</v>
      </c>
      <c r="Y11" s="4" t="s">
        <v>58</v>
      </c>
      <c r="Z11" s="4"/>
      <c r="AA11" s="4"/>
      <c r="AB11" s="4"/>
      <c r="AC11" s="4"/>
      <c r="AD11" s="4" t="s">
        <v>594</v>
      </c>
      <c r="AE11" s="4" t="s">
        <v>63</v>
      </c>
      <c r="AF11" s="4" t="n">
        <v>5</v>
      </c>
      <c r="AG11" s="4" t="s">
        <v>57</v>
      </c>
      <c r="AH11" s="4" t="s">
        <v>63</v>
      </c>
      <c r="AI11" s="4" t="n">
        <v>92000</v>
      </c>
      <c r="AJ11" s="4" t="n">
        <v>0</v>
      </c>
      <c r="AK11" s="4" t="n">
        <v>0</v>
      </c>
      <c r="AL11" s="4" t="n">
        <v>1</v>
      </c>
    </row>
    <row r="12" customFormat="false" ht="91" hidden="false" customHeight="false" outlineLevel="0" collapsed="false">
      <c r="A12" s="4" t="s">
        <v>652</v>
      </c>
      <c r="B12" s="46" t="n">
        <v>46289</v>
      </c>
      <c r="C12" s="4" t="s">
        <v>590</v>
      </c>
      <c r="D12" s="4" t="s">
        <v>65</v>
      </c>
      <c r="E12" s="4" t="s">
        <v>113</v>
      </c>
      <c r="F12" s="4" t="s">
        <v>653</v>
      </c>
      <c r="G12" s="4" t="s">
        <v>58</v>
      </c>
      <c r="H12" s="4" t="s">
        <v>654</v>
      </c>
      <c r="I12" s="4" t="s">
        <v>655</v>
      </c>
      <c r="J12" s="4" t="s">
        <v>604</v>
      </c>
      <c r="K12" s="4" t="s">
        <v>656</v>
      </c>
      <c r="L12" s="4" t="s">
        <v>654</v>
      </c>
      <c r="M12" s="4" t="s">
        <v>596</v>
      </c>
      <c r="N12" s="4" t="s">
        <v>55</v>
      </c>
      <c r="O12" s="4" t="s">
        <v>657</v>
      </c>
      <c r="P12" s="4" t="s">
        <v>597</v>
      </c>
      <c r="Q12" s="4" t="n">
        <v>350000</v>
      </c>
      <c r="R12" s="4" t="s">
        <v>598</v>
      </c>
      <c r="S12" s="4" t="n">
        <v>4</v>
      </c>
      <c r="T12" s="4" t="n">
        <v>50000</v>
      </c>
      <c r="U12" s="4" t="s">
        <v>607</v>
      </c>
      <c r="V12" s="4" t="s">
        <v>598</v>
      </c>
      <c r="W12" s="4" t="n">
        <v>2</v>
      </c>
      <c r="X12" s="4" t="n">
        <v>75000</v>
      </c>
      <c r="Y12" s="4" t="s">
        <v>58</v>
      </c>
      <c r="Z12" s="4"/>
      <c r="AA12" s="4"/>
      <c r="AB12" s="4"/>
      <c r="AC12" s="4"/>
      <c r="AD12" s="4" t="s">
        <v>608</v>
      </c>
      <c r="AE12" s="4" t="s">
        <v>57</v>
      </c>
      <c r="AF12" s="4" t="n">
        <v>3</v>
      </c>
      <c r="AG12" s="4" t="s">
        <v>67</v>
      </c>
      <c r="AH12" s="4" t="s">
        <v>57</v>
      </c>
      <c r="AI12" s="4" t="n">
        <v>150000</v>
      </c>
      <c r="AJ12" s="4" t="n">
        <v>0</v>
      </c>
      <c r="AK12" s="4" t="n">
        <v>0</v>
      </c>
      <c r="AL12" s="4" t="n">
        <v>0</v>
      </c>
    </row>
    <row r="13" customFormat="false" ht="91" hidden="false" customHeight="false" outlineLevel="0" collapsed="false">
      <c r="A13" s="4" t="s">
        <v>658</v>
      </c>
      <c r="B13" s="46" t="n">
        <v>46289</v>
      </c>
      <c r="C13" s="4" t="s">
        <v>590</v>
      </c>
      <c r="D13" s="4" t="s">
        <v>87</v>
      </c>
      <c r="E13" s="4" t="s">
        <v>659</v>
      </c>
      <c r="F13" s="4" t="s">
        <v>591</v>
      </c>
      <c r="G13" s="4" t="s">
        <v>58</v>
      </c>
      <c r="H13" s="4"/>
      <c r="I13" s="4" t="s">
        <v>593</v>
      </c>
      <c r="J13" s="4" t="s">
        <v>660</v>
      </c>
      <c r="K13" s="4" t="s">
        <v>661</v>
      </c>
      <c r="L13" s="4" t="s">
        <v>662</v>
      </c>
      <c r="M13" s="4" t="s">
        <v>596</v>
      </c>
      <c r="N13" s="4" t="s">
        <v>55</v>
      </c>
      <c r="O13" s="4" t="s">
        <v>66</v>
      </c>
      <c r="P13" s="4" t="s">
        <v>597</v>
      </c>
      <c r="Q13" s="4" t="n">
        <v>200000</v>
      </c>
      <c r="R13" s="4" t="s">
        <v>598</v>
      </c>
      <c r="S13" s="4" t="n">
        <v>2</v>
      </c>
      <c r="T13" s="4" t="n">
        <v>60000</v>
      </c>
      <c r="U13" s="4" t="s">
        <v>58</v>
      </c>
      <c r="V13" s="4" t="s">
        <v>599</v>
      </c>
      <c r="W13" s="4" t="n">
        <v>1</v>
      </c>
      <c r="X13" s="4" t="n">
        <v>10000</v>
      </c>
      <c r="Y13" s="4" t="s">
        <v>117</v>
      </c>
      <c r="Z13" s="4"/>
      <c r="AA13" s="4"/>
      <c r="AB13" s="4"/>
      <c r="AC13" s="4"/>
      <c r="AD13" s="4" t="s">
        <v>663</v>
      </c>
      <c r="AE13" s="4" t="s">
        <v>63</v>
      </c>
      <c r="AF13" s="4" t="n">
        <v>5</v>
      </c>
      <c r="AG13" s="4" t="s">
        <v>57</v>
      </c>
      <c r="AH13" s="4" t="s">
        <v>609</v>
      </c>
      <c r="AI13" s="4" t="n">
        <v>120000</v>
      </c>
      <c r="AJ13" s="4" t="n">
        <v>0</v>
      </c>
      <c r="AK13" s="4" t="n">
        <v>0</v>
      </c>
      <c r="AL13" s="4" t="n">
        <v>1</v>
      </c>
    </row>
    <row r="14" customFormat="false" ht="91" hidden="false" customHeight="false" outlineLevel="0" collapsed="false">
      <c r="A14" s="4" t="s">
        <v>664</v>
      </c>
      <c r="B14" s="46" t="n">
        <v>46289</v>
      </c>
      <c r="C14" s="4" t="s">
        <v>590</v>
      </c>
      <c r="D14" s="4" t="s">
        <v>116</v>
      </c>
      <c r="E14" s="4" t="s">
        <v>54</v>
      </c>
      <c r="F14" s="4" t="s">
        <v>620</v>
      </c>
      <c r="G14" s="4" t="s">
        <v>58</v>
      </c>
      <c r="H14" s="4" t="s">
        <v>665</v>
      </c>
      <c r="I14" s="4" t="s">
        <v>666</v>
      </c>
      <c r="J14" s="4" t="s">
        <v>604</v>
      </c>
      <c r="K14" s="4" t="s">
        <v>656</v>
      </c>
      <c r="L14" s="4" t="s">
        <v>665</v>
      </c>
      <c r="M14" s="4" t="s">
        <v>667</v>
      </c>
      <c r="N14" s="4" t="s">
        <v>55</v>
      </c>
      <c r="O14" s="4" t="s">
        <v>56</v>
      </c>
      <c r="P14" s="4" t="s">
        <v>597</v>
      </c>
      <c r="Q14" s="4" t="n">
        <v>150000</v>
      </c>
      <c r="R14" s="4" t="s">
        <v>598</v>
      </c>
      <c r="S14" s="4" t="n">
        <v>6</v>
      </c>
      <c r="T14" s="4" t="n">
        <v>15000</v>
      </c>
      <c r="U14" s="4" t="s">
        <v>58</v>
      </c>
      <c r="V14" s="4" t="s">
        <v>618</v>
      </c>
      <c r="W14" s="4" t="n">
        <v>30</v>
      </c>
      <c r="X14" s="4" t="n">
        <v>800</v>
      </c>
      <c r="Y14" s="4" t="s">
        <v>96</v>
      </c>
      <c r="Z14" s="4"/>
      <c r="AA14" s="4"/>
      <c r="AB14" s="4"/>
      <c r="AC14" s="4"/>
      <c r="AD14" s="4" t="s">
        <v>608</v>
      </c>
      <c r="AE14" s="4" t="s">
        <v>63</v>
      </c>
      <c r="AF14" s="4" t="n">
        <v>4</v>
      </c>
      <c r="AG14" s="4" t="s">
        <v>67</v>
      </c>
      <c r="AH14" s="4" t="s">
        <v>63</v>
      </c>
      <c r="AI14" s="4" t="n">
        <v>114000</v>
      </c>
      <c r="AJ14" s="4" t="n">
        <v>0</v>
      </c>
      <c r="AK14" s="4" t="n">
        <v>0</v>
      </c>
      <c r="AL14" s="4" t="n">
        <v>1</v>
      </c>
    </row>
    <row r="15" customFormat="false" ht="91" hidden="false" customHeight="false" outlineLevel="0" collapsed="false">
      <c r="A15" s="4" t="s">
        <v>668</v>
      </c>
      <c r="B15" s="46" t="n">
        <v>46289</v>
      </c>
      <c r="C15" s="4" t="s">
        <v>590</v>
      </c>
      <c r="D15" s="4" t="s">
        <v>669</v>
      </c>
      <c r="E15" s="4" t="s">
        <v>612</v>
      </c>
      <c r="F15" s="4" t="s">
        <v>644</v>
      </c>
      <c r="G15" s="4" t="s">
        <v>58</v>
      </c>
      <c r="H15" s="4"/>
      <c r="I15" s="4" t="s">
        <v>593</v>
      </c>
      <c r="J15" s="4" t="s">
        <v>615</v>
      </c>
      <c r="K15" s="4" t="s">
        <v>616</v>
      </c>
      <c r="L15" s="4" t="s">
        <v>670</v>
      </c>
      <c r="M15" s="4" t="s">
        <v>667</v>
      </c>
      <c r="N15" s="4"/>
      <c r="O15" s="4" t="s">
        <v>66</v>
      </c>
      <c r="P15" s="4" t="s">
        <v>617</v>
      </c>
      <c r="Q15" s="4" t="n">
        <v>120000</v>
      </c>
      <c r="R15" s="4" t="s">
        <v>618</v>
      </c>
      <c r="S15" s="4" t="n">
        <v>30</v>
      </c>
      <c r="T15" s="4" t="n">
        <v>2500</v>
      </c>
      <c r="U15" s="4" t="s">
        <v>117</v>
      </c>
      <c r="V15" s="4" t="s">
        <v>598</v>
      </c>
      <c r="W15" s="4" t="n">
        <v>4</v>
      </c>
      <c r="X15" s="4" t="n">
        <v>10000</v>
      </c>
      <c r="Y15" s="4" t="s">
        <v>58</v>
      </c>
      <c r="Z15" s="4"/>
      <c r="AA15" s="4"/>
      <c r="AB15" s="4"/>
      <c r="AC15" s="4"/>
      <c r="AD15" s="4" t="s">
        <v>615</v>
      </c>
      <c r="AE15" s="4" t="s">
        <v>63</v>
      </c>
      <c r="AF15" s="4" t="n">
        <v>5</v>
      </c>
      <c r="AG15" s="4" t="s">
        <v>57</v>
      </c>
      <c r="AH15" s="4" t="s">
        <v>57</v>
      </c>
      <c r="AI15" s="4" t="n">
        <v>40000</v>
      </c>
      <c r="AJ15" s="4" t="n">
        <v>0</v>
      </c>
      <c r="AK15" s="4" t="n">
        <v>0</v>
      </c>
      <c r="AL15" s="4" t="n">
        <v>1</v>
      </c>
    </row>
    <row r="16" customFormat="false" ht="91" hidden="false" customHeight="false" outlineLevel="0" collapsed="false">
      <c r="A16" s="4" t="s">
        <v>671</v>
      </c>
      <c r="B16" s="46" t="n">
        <v>46289</v>
      </c>
      <c r="C16" s="4" t="s">
        <v>590</v>
      </c>
      <c r="D16" s="4" t="s">
        <v>65</v>
      </c>
      <c r="E16" s="4" t="s">
        <v>95</v>
      </c>
      <c r="F16" s="4" t="s">
        <v>672</v>
      </c>
      <c r="G16" s="4" t="s">
        <v>96</v>
      </c>
      <c r="H16" s="4" t="s">
        <v>673</v>
      </c>
      <c r="I16" s="4" t="s">
        <v>674</v>
      </c>
      <c r="J16" s="4" t="s">
        <v>594</v>
      </c>
      <c r="K16" s="4" t="s">
        <v>595</v>
      </c>
      <c r="L16" s="4" t="s">
        <v>673</v>
      </c>
      <c r="M16" s="4" t="s">
        <v>667</v>
      </c>
      <c r="N16" s="4" t="s">
        <v>55</v>
      </c>
      <c r="O16" s="4" t="s">
        <v>640</v>
      </c>
      <c r="P16" s="4" t="s">
        <v>597</v>
      </c>
      <c r="Q16" s="4" t="n">
        <v>400000</v>
      </c>
      <c r="R16" s="4" t="s">
        <v>598</v>
      </c>
      <c r="S16" s="4" t="n">
        <v>10</v>
      </c>
      <c r="T16" s="4" t="n">
        <v>30000</v>
      </c>
      <c r="U16" s="4" t="s">
        <v>96</v>
      </c>
      <c r="V16" s="4" t="s">
        <v>599</v>
      </c>
      <c r="W16" s="4" t="n">
        <v>1</v>
      </c>
      <c r="X16" s="4" t="n">
        <v>14000</v>
      </c>
      <c r="Y16" s="4" t="s">
        <v>117</v>
      </c>
      <c r="Z16" s="4"/>
      <c r="AA16" s="4"/>
      <c r="AB16" s="4"/>
      <c r="AC16" s="4"/>
      <c r="AD16" s="4" t="s">
        <v>594</v>
      </c>
      <c r="AE16" s="4" t="s">
        <v>63</v>
      </c>
      <c r="AF16" s="4" t="n">
        <v>4</v>
      </c>
      <c r="AG16" s="4" t="s">
        <v>57</v>
      </c>
      <c r="AH16" s="4" t="s">
        <v>609</v>
      </c>
      <c r="AI16" s="4" t="n">
        <v>300000</v>
      </c>
      <c r="AJ16" s="4" t="n">
        <v>0</v>
      </c>
      <c r="AK16" s="4" t="n">
        <v>0</v>
      </c>
      <c r="AL16" s="4" t="n">
        <v>0</v>
      </c>
    </row>
    <row r="17" customFormat="false" ht="102.2" hidden="false" customHeight="false" outlineLevel="0" collapsed="false">
      <c r="A17" s="4" t="s">
        <v>675</v>
      </c>
      <c r="B17" s="46" t="n">
        <v>46289</v>
      </c>
      <c r="C17" s="4" t="s">
        <v>590</v>
      </c>
      <c r="D17" s="4" t="s">
        <v>676</v>
      </c>
      <c r="E17" s="4" t="s">
        <v>91</v>
      </c>
      <c r="F17" s="4" t="s">
        <v>677</v>
      </c>
      <c r="G17" s="4" t="s">
        <v>58</v>
      </c>
      <c r="H17" s="4" t="s">
        <v>678</v>
      </c>
      <c r="I17" s="4" t="s">
        <v>679</v>
      </c>
      <c r="J17" s="4" t="s">
        <v>680</v>
      </c>
      <c r="K17" s="4" t="s">
        <v>681</v>
      </c>
      <c r="L17" s="4" t="s">
        <v>678</v>
      </c>
      <c r="M17" s="4" t="s">
        <v>667</v>
      </c>
      <c r="N17" s="4" t="s">
        <v>55</v>
      </c>
      <c r="O17" s="4" t="s">
        <v>66</v>
      </c>
      <c r="P17" s="4" t="s">
        <v>597</v>
      </c>
      <c r="Q17" s="4" t="n">
        <v>180000</v>
      </c>
      <c r="R17" s="4" t="s">
        <v>598</v>
      </c>
      <c r="S17" s="4" t="n">
        <v>5</v>
      </c>
      <c r="T17" s="4" t="n">
        <v>25000</v>
      </c>
      <c r="U17" s="4" t="s">
        <v>58</v>
      </c>
      <c r="V17" s="4" t="s">
        <v>606</v>
      </c>
      <c r="W17" s="4" t="n">
        <v>1</v>
      </c>
      <c r="X17" s="4" t="n">
        <v>15000</v>
      </c>
      <c r="Y17" s="4" t="s">
        <v>607</v>
      </c>
      <c r="Z17" s="4"/>
      <c r="AA17" s="4"/>
      <c r="AB17" s="4"/>
      <c r="AC17" s="4"/>
      <c r="AD17" s="4" t="s">
        <v>682</v>
      </c>
      <c r="AE17" s="4" t="s">
        <v>57</v>
      </c>
      <c r="AF17" s="4" t="n">
        <v>5</v>
      </c>
      <c r="AG17" s="4" t="s">
        <v>57</v>
      </c>
      <c r="AH17" s="4" t="s">
        <v>63</v>
      </c>
      <c r="AI17" s="4" t="n">
        <v>125000</v>
      </c>
      <c r="AJ17" s="4" t="n">
        <v>0</v>
      </c>
      <c r="AK17" s="4" t="n">
        <v>0</v>
      </c>
      <c r="AL17" s="4" t="n">
        <v>1</v>
      </c>
    </row>
    <row r="18" customFormat="false" ht="91" hidden="false" customHeight="false" outlineLevel="0" collapsed="false">
      <c r="A18" s="4" t="s">
        <v>683</v>
      </c>
      <c r="B18" s="46" t="n">
        <v>46289</v>
      </c>
      <c r="C18" s="4" t="s">
        <v>590</v>
      </c>
      <c r="D18" s="4" t="s">
        <v>684</v>
      </c>
      <c r="E18" s="4" t="s">
        <v>612</v>
      </c>
      <c r="F18" s="4" t="s">
        <v>685</v>
      </c>
      <c r="G18" s="4" t="s">
        <v>58</v>
      </c>
      <c r="H18" s="4" t="s">
        <v>686</v>
      </c>
      <c r="I18" s="4" t="s">
        <v>666</v>
      </c>
      <c r="J18" s="4" t="s">
        <v>594</v>
      </c>
      <c r="K18" s="4" t="s">
        <v>623</v>
      </c>
      <c r="L18" s="4" t="s">
        <v>686</v>
      </c>
      <c r="M18" s="4" t="s">
        <v>667</v>
      </c>
      <c r="N18" s="4"/>
      <c r="O18" s="4" t="s">
        <v>56</v>
      </c>
      <c r="P18" s="4" t="s">
        <v>630</v>
      </c>
      <c r="Q18" s="4" t="n">
        <v>90000</v>
      </c>
      <c r="R18" s="4" t="s">
        <v>618</v>
      </c>
      <c r="S18" s="4" t="n">
        <v>30</v>
      </c>
      <c r="T18" s="4" t="n">
        <v>1500</v>
      </c>
      <c r="U18" s="4" t="s">
        <v>58</v>
      </c>
      <c r="V18" s="4" t="s">
        <v>598</v>
      </c>
      <c r="W18" s="4" t="n">
        <v>2</v>
      </c>
      <c r="X18" s="4" t="n">
        <v>20000</v>
      </c>
      <c r="Y18" s="4" t="s">
        <v>96</v>
      </c>
      <c r="Z18" s="4"/>
      <c r="AA18" s="4"/>
      <c r="AB18" s="4"/>
      <c r="AC18" s="4"/>
      <c r="AD18" s="4" t="s">
        <v>594</v>
      </c>
      <c r="AE18" s="4" t="s">
        <v>63</v>
      </c>
      <c r="AF18" s="4" t="n">
        <v>4</v>
      </c>
      <c r="AG18" s="4" t="s">
        <v>67</v>
      </c>
      <c r="AH18" s="4" t="s">
        <v>609</v>
      </c>
      <c r="AI18" s="4" t="n">
        <v>85000</v>
      </c>
      <c r="AJ18" s="4" t="n">
        <v>0</v>
      </c>
      <c r="AK18" s="4" t="n">
        <v>0</v>
      </c>
      <c r="AL18" s="4" t="n">
        <v>1</v>
      </c>
    </row>
    <row r="19" customFormat="false" ht="91" hidden="false" customHeight="false" outlineLevel="0" collapsed="false">
      <c r="A19" s="4" t="s">
        <v>687</v>
      </c>
      <c r="B19" s="46" t="n">
        <v>46289</v>
      </c>
      <c r="C19" s="4" t="s">
        <v>590</v>
      </c>
      <c r="D19" s="4" t="s">
        <v>53</v>
      </c>
      <c r="E19" s="4" t="s">
        <v>54</v>
      </c>
      <c r="F19" s="4" t="s">
        <v>688</v>
      </c>
      <c r="G19" s="4" t="s">
        <v>58</v>
      </c>
      <c r="H19" s="4" t="s">
        <v>689</v>
      </c>
      <c r="I19" s="4" t="s">
        <v>593</v>
      </c>
      <c r="J19" s="4" t="s">
        <v>604</v>
      </c>
      <c r="K19" s="4" t="s">
        <v>605</v>
      </c>
      <c r="L19" s="4" t="s">
        <v>689</v>
      </c>
      <c r="M19" s="4" t="s">
        <v>667</v>
      </c>
      <c r="N19" s="4" t="s">
        <v>55</v>
      </c>
      <c r="O19" s="4" t="s">
        <v>66</v>
      </c>
      <c r="P19" s="4" t="s">
        <v>597</v>
      </c>
      <c r="Q19" s="4" t="n">
        <v>220000</v>
      </c>
      <c r="R19" s="4" t="s">
        <v>598</v>
      </c>
      <c r="S19" s="4" t="n">
        <v>8</v>
      </c>
      <c r="T19" s="4" t="n">
        <v>20000</v>
      </c>
      <c r="U19" s="4" t="s">
        <v>58</v>
      </c>
      <c r="V19" s="4" t="s">
        <v>606</v>
      </c>
      <c r="W19" s="4" t="n">
        <v>1</v>
      </c>
      <c r="X19" s="4" t="n">
        <v>18000</v>
      </c>
      <c r="Y19" s="4" t="s">
        <v>117</v>
      </c>
      <c r="Z19" s="4"/>
      <c r="AA19" s="4"/>
      <c r="AB19" s="4"/>
      <c r="AC19" s="4"/>
      <c r="AD19" s="4" t="s">
        <v>608</v>
      </c>
      <c r="AE19" s="4" t="s">
        <v>63</v>
      </c>
      <c r="AF19" s="4" t="n">
        <v>5</v>
      </c>
      <c r="AG19" s="4" t="s">
        <v>57</v>
      </c>
      <c r="AH19" s="4" t="s">
        <v>57</v>
      </c>
      <c r="AI19" s="4" t="n">
        <v>160000</v>
      </c>
      <c r="AJ19" s="4" t="n">
        <v>0</v>
      </c>
      <c r="AK19" s="4" t="n">
        <v>0</v>
      </c>
      <c r="AL19" s="4" t="n">
        <v>1</v>
      </c>
    </row>
    <row r="20" customFormat="false" ht="102.2" hidden="false" customHeight="false" outlineLevel="0" collapsed="false">
      <c r="A20" s="4" t="s">
        <v>690</v>
      </c>
      <c r="B20" s="46" t="n">
        <v>46289</v>
      </c>
      <c r="C20" s="4" t="s">
        <v>590</v>
      </c>
      <c r="D20" s="4" t="s">
        <v>116</v>
      </c>
      <c r="E20" s="4" t="s">
        <v>103</v>
      </c>
      <c r="F20" s="4" t="s">
        <v>691</v>
      </c>
      <c r="G20" s="4" t="s">
        <v>58</v>
      </c>
      <c r="H20" s="4" t="s">
        <v>692</v>
      </c>
      <c r="I20" s="4" t="s">
        <v>622</v>
      </c>
      <c r="J20" s="4" t="s">
        <v>594</v>
      </c>
      <c r="K20" s="4" t="s">
        <v>623</v>
      </c>
      <c r="L20" s="4" t="s">
        <v>692</v>
      </c>
      <c r="M20" s="4" t="s">
        <v>667</v>
      </c>
      <c r="N20" s="4"/>
      <c r="O20" s="4" t="s">
        <v>624</v>
      </c>
      <c r="P20" s="4" t="s">
        <v>648</v>
      </c>
      <c r="Q20" s="4" t="n">
        <v>70000</v>
      </c>
      <c r="R20" s="4" t="s">
        <v>598</v>
      </c>
      <c r="S20" s="4" t="n">
        <v>30</v>
      </c>
      <c r="T20" s="4" t="n">
        <v>1500</v>
      </c>
      <c r="U20" s="4" t="s">
        <v>117</v>
      </c>
      <c r="V20" s="4" t="s">
        <v>606</v>
      </c>
      <c r="W20" s="4" t="n">
        <v>1</v>
      </c>
      <c r="X20" s="4" t="n">
        <v>10000</v>
      </c>
      <c r="Y20" s="4" t="s">
        <v>58</v>
      </c>
      <c r="Z20" s="4"/>
      <c r="AA20" s="4"/>
      <c r="AB20" s="4"/>
      <c r="AC20" s="4"/>
      <c r="AD20" s="4" t="s">
        <v>594</v>
      </c>
      <c r="AE20" s="4" t="s">
        <v>63</v>
      </c>
      <c r="AF20" s="4" t="n">
        <v>3</v>
      </c>
      <c r="AG20" s="4" t="s">
        <v>63</v>
      </c>
      <c r="AH20" s="4" t="s">
        <v>57</v>
      </c>
      <c r="AI20" s="4" t="n">
        <v>10000</v>
      </c>
      <c r="AJ20" s="4" t="n">
        <v>0</v>
      </c>
      <c r="AK20" s="4" t="n">
        <v>0</v>
      </c>
      <c r="AL20" s="4" t="n">
        <v>0</v>
      </c>
    </row>
    <row r="21" customFormat="false" ht="91" hidden="false" customHeight="false" outlineLevel="0" collapsed="false">
      <c r="A21" s="4" t="s">
        <v>693</v>
      </c>
      <c r="B21" s="46" t="n">
        <v>46289</v>
      </c>
      <c r="C21" s="4" t="s">
        <v>590</v>
      </c>
      <c r="D21" s="4" t="s">
        <v>87</v>
      </c>
      <c r="E21" s="4" t="s">
        <v>650</v>
      </c>
      <c r="F21" s="4" t="s">
        <v>672</v>
      </c>
      <c r="G21" s="4" t="s">
        <v>96</v>
      </c>
      <c r="H21" s="4" t="s">
        <v>694</v>
      </c>
      <c r="I21" s="4" t="s">
        <v>593</v>
      </c>
      <c r="J21" s="4" t="s">
        <v>660</v>
      </c>
      <c r="K21" s="4" t="s">
        <v>661</v>
      </c>
      <c r="L21" s="4" t="s">
        <v>694</v>
      </c>
      <c r="M21" s="4" t="s">
        <v>667</v>
      </c>
      <c r="N21" s="4" t="s">
        <v>55</v>
      </c>
      <c r="O21" s="4" t="s">
        <v>66</v>
      </c>
      <c r="P21" s="4" t="s">
        <v>597</v>
      </c>
      <c r="Q21" s="4" t="n">
        <v>80000</v>
      </c>
      <c r="R21" s="4" t="s">
        <v>598</v>
      </c>
      <c r="S21" s="4" t="n">
        <v>2</v>
      </c>
      <c r="T21" s="4" t="n">
        <v>30000</v>
      </c>
      <c r="U21" s="4" t="s">
        <v>96</v>
      </c>
      <c r="V21" s="4" t="s">
        <v>599</v>
      </c>
      <c r="W21" s="4" t="n">
        <v>1</v>
      </c>
      <c r="X21" s="4" t="n">
        <v>8000</v>
      </c>
      <c r="Y21" s="4" t="s">
        <v>117</v>
      </c>
      <c r="Z21" s="4"/>
      <c r="AA21" s="4"/>
      <c r="AB21" s="4"/>
      <c r="AC21" s="4"/>
      <c r="AD21" s="4" t="s">
        <v>663</v>
      </c>
      <c r="AE21" s="4" t="s">
        <v>63</v>
      </c>
      <c r="AF21" s="4" t="n">
        <v>4</v>
      </c>
      <c r="AG21" s="4" t="s">
        <v>57</v>
      </c>
      <c r="AH21" s="4" t="s">
        <v>63</v>
      </c>
      <c r="AI21" s="4" t="n">
        <v>60000</v>
      </c>
      <c r="AJ21" s="4" t="n">
        <v>0</v>
      </c>
      <c r="AK21" s="4" t="n">
        <v>0</v>
      </c>
      <c r="AL21" s="4" t="n">
        <v>1</v>
      </c>
    </row>
    <row r="22" customFormat="false" ht="102.2" hidden="false" customHeight="false" outlineLevel="0" collapsed="false">
      <c r="A22" s="4" t="s">
        <v>695</v>
      </c>
      <c r="B22" s="46" t="n">
        <v>46289</v>
      </c>
      <c r="C22" s="4" t="s">
        <v>590</v>
      </c>
      <c r="D22" s="4" t="s">
        <v>696</v>
      </c>
      <c r="E22" s="4" t="s">
        <v>113</v>
      </c>
      <c r="F22" s="4" t="s">
        <v>653</v>
      </c>
      <c r="G22" s="4" t="s">
        <v>58</v>
      </c>
      <c r="H22" s="4" t="s">
        <v>697</v>
      </c>
      <c r="I22" s="4" t="s">
        <v>603</v>
      </c>
      <c r="J22" s="4" t="s">
        <v>698</v>
      </c>
      <c r="K22" s="4" t="s">
        <v>699</v>
      </c>
      <c r="L22" s="4" t="s">
        <v>697</v>
      </c>
      <c r="M22" s="4" t="s">
        <v>667</v>
      </c>
      <c r="N22" s="4" t="s">
        <v>55</v>
      </c>
      <c r="O22" s="4" t="s">
        <v>56</v>
      </c>
      <c r="P22" s="4" t="s">
        <v>597</v>
      </c>
      <c r="Q22" s="4" t="n">
        <v>280000</v>
      </c>
      <c r="R22" s="4" t="s">
        <v>598</v>
      </c>
      <c r="S22" s="4" t="n">
        <v>4</v>
      </c>
      <c r="T22" s="4" t="n">
        <v>50000</v>
      </c>
      <c r="U22" s="4" t="s">
        <v>607</v>
      </c>
      <c r="V22" s="4" t="s">
        <v>598</v>
      </c>
      <c r="W22" s="4" t="n">
        <v>4</v>
      </c>
      <c r="X22" s="4" t="n">
        <v>15000</v>
      </c>
      <c r="Y22" s="4" t="s">
        <v>58</v>
      </c>
      <c r="Z22" s="4"/>
      <c r="AA22" s="4"/>
      <c r="AB22" s="4"/>
      <c r="AC22" s="4"/>
      <c r="AD22" s="4" t="s">
        <v>641</v>
      </c>
      <c r="AE22" s="4" t="s">
        <v>57</v>
      </c>
      <c r="AF22" s="4" t="n">
        <v>3</v>
      </c>
      <c r="AG22" s="4" t="s">
        <v>67</v>
      </c>
      <c r="AH22" s="4" t="s">
        <v>609</v>
      </c>
      <c r="AI22" s="4" t="n">
        <v>60000</v>
      </c>
      <c r="AJ22" s="4" t="n">
        <v>0</v>
      </c>
      <c r="AK22" s="4" t="n">
        <v>0</v>
      </c>
      <c r="AL22" s="4" t="n">
        <v>1</v>
      </c>
    </row>
    <row r="23" customFormat="false" ht="91" hidden="false" customHeight="false" outlineLevel="0" collapsed="false">
      <c r="A23" s="4" t="s">
        <v>700</v>
      </c>
      <c r="B23" s="46" t="n">
        <v>46289</v>
      </c>
      <c r="C23" s="4" t="s">
        <v>590</v>
      </c>
      <c r="D23" s="4" t="s">
        <v>65</v>
      </c>
      <c r="E23" s="4" t="s">
        <v>54</v>
      </c>
      <c r="F23" s="4" t="s">
        <v>701</v>
      </c>
      <c r="G23" s="4" t="s">
        <v>58</v>
      </c>
      <c r="H23" s="4"/>
      <c r="I23" s="4" t="s">
        <v>593</v>
      </c>
      <c r="J23" s="4" t="s">
        <v>615</v>
      </c>
      <c r="K23" s="4" t="s">
        <v>616</v>
      </c>
      <c r="L23" s="4" t="s">
        <v>702</v>
      </c>
      <c r="M23" s="4" t="s">
        <v>667</v>
      </c>
      <c r="N23" s="4"/>
      <c r="O23" s="4" t="s">
        <v>66</v>
      </c>
      <c r="P23" s="4" t="s">
        <v>617</v>
      </c>
      <c r="Q23" s="4" t="n">
        <v>180000</v>
      </c>
      <c r="R23" s="4" t="s">
        <v>598</v>
      </c>
      <c r="S23" s="4" t="n">
        <v>6</v>
      </c>
      <c r="T23" s="4" t="n">
        <v>15000</v>
      </c>
      <c r="U23" s="4" t="s">
        <v>58</v>
      </c>
      <c r="V23" s="4" t="s">
        <v>618</v>
      </c>
      <c r="W23" s="4" t="n">
        <v>30</v>
      </c>
      <c r="X23" s="4" t="n">
        <v>1000</v>
      </c>
      <c r="Y23" s="4" t="s">
        <v>117</v>
      </c>
      <c r="Z23" s="4"/>
      <c r="AA23" s="4"/>
      <c r="AB23" s="4"/>
      <c r="AC23" s="4"/>
      <c r="AD23" s="4" t="s">
        <v>615</v>
      </c>
      <c r="AE23" s="4" t="s">
        <v>63</v>
      </c>
      <c r="AF23" s="4" t="n">
        <v>5</v>
      </c>
      <c r="AG23" s="4" t="s">
        <v>57</v>
      </c>
      <c r="AH23" s="4" t="s">
        <v>57</v>
      </c>
      <c r="AI23" s="4" t="n">
        <v>90000</v>
      </c>
      <c r="AJ23" s="4" t="n">
        <v>0</v>
      </c>
      <c r="AK23" s="4" t="n">
        <v>0</v>
      </c>
      <c r="AL23" s="4" t="n">
        <v>1</v>
      </c>
    </row>
    <row r="24" customFormat="false" ht="91" hidden="false" customHeight="false" outlineLevel="0" collapsed="false">
      <c r="A24" s="4" t="s">
        <v>703</v>
      </c>
      <c r="B24" s="46" t="n">
        <v>46289</v>
      </c>
      <c r="C24" s="4" t="s">
        <v>590</v>
      </c>
      <c r="D24" s="4" t="s">
        <v>704</v>
      </c>
      <c r="E24" s="4" t="s">
        <v>612</v>
      </c>
      <c r="F24" s="4" t="s">
        <v>705</v>
      </c>
      <c r="G24" s="4" t="s">
        <v>96</v>
      </c>
      <c r="H24" s="4" t="s">
        <v>706</v>
      </c>
      <c r="I24" s="4" t="s">
        <v>593</v>
      </c>
      <c r="J24" s="4" t="s">
        <v>594</v>
      </c>
      <c r="K24" s="4" t="s">
        <v>623</v>
      </c>
      <c r="L24" s="4" t="s">
        <v>706</v>
      </c>
      <c r="M24" s="4" t="s">
        <v>667</v>
      </c>
      <c r="N24" s="4" t="s">
        <v>55</v>
      </c>
      <c r="O24" s="4" t="s">
        <v>66</v>
      </c>
      <c r="P24" s="4" t="s">
        <v>597</v>
      </c>
      <c r="Q24" s="4" t="n">
        <v>140000</v>
      </c>
      <c r="R24" s="4" t="s">
        <v>618</v>
      </c>
      <c r="S24" s="4" t="n">
        <v>30</v>
      </c>
      <c r="T24" s="4" t="n">
        <v>3000</v>
      </c>
      <c r="U24" s="4" t="s">
        <v>96</v>
      </c>
      <c r="V24" s="4" t="s">
        <v>598</v>
      </c>
      <c r="W24" s="4" t="n">
        <v>2</v>
      </c>
      <c r="X24" s="4" t="n">
        <v>20000</v>
      </c>
      <c r="Y24" s="4" t="s">
        <v>58</v>
      </c>
      <c r="Z24" s="4"/>
      <c r="AA24" s="4"/>
      <c r="AB24" s="4"/>
      <c r="AC24" s="4"/>
      <c r="AD24" s="4" t="s">
        <v>594</v>
      </c>
      <c r="AE24" s="4" t="s">
        <v>63</v>
      </c>
      <c r="AF24" s="4" t="n">
        <v>4</v>
      </c>
      <c r="AG24" s="4" t="s">
        <v>67</v>
      </c>
      <c r="AH24" s="4" t="s">
        <v>63</v>
      </c>
      <c r="AI24" s="4" t="n">
        <v>130000</v>
      </c>
      <c r="AJ24" s="4" t="n">
        <v>0</v>
      </c>
      <c r="AK24" s="4" t="n">
        <v>0</v>
      </c>
      <c r="AL24" s="4" t="n">
        <v>1</v>
      </c>
    </row>
    <row r="25" customFormat="false" ht="91" hidden="false" customHeight="false" outlineLevel="0" collapsed="false">
      <c r="A25" s="4" t="s">
        <v>707</v>
      </c>
      <c r="B25" s="46" t="n">
        <v>46289</v>
      </c>
      <c r="C25" s="4" t="s">
        <v>590</v>
      </c>
      <c r="D25" s="4" t="s">
        <v>75</v>
      </c>
      <c r="E25" s="4" t="s">
        <v>633</v>
      </c>
      <c r="F25" s="4" t="s">
        <v>708</v>
      </c>
      <c r="G25" s="4" t="s">
        <v>58</v>
      </c>
      <c r="H25" s="4" t="s">
        <v>709</v>
      </c>
      <c r="I25" s="4" t="s">
        <v>593</v>
      </c>
      <c r="J25" s="4" t="s">
        <v>710</v>
      </c>
      <c r="K25" s="4" t="s">
        <v>639</v>
      </c>
      <c r="L25" s="4" t="s">
        <v>709</v>
      </c>
      <c r="M25" s="4" t="s">
        <v>667</v>
      </c>
      <c r="N25" s="4" t="s">
        <v>55</v>
      </c>
      <c r="O25" s="4" t="s">
        <v>66</v>
      </c>
      <c r="P25" s="4" t="s">
        <v>597</v>
      </c>
      <c r="Q25" s="4" t="n">
        <v>350000</v>
      </c>
      <c r="R25" s="4" t="s">
        <v>598</v>
      </c>
      <c r="S25" s="4" t="n">
        <v>4</v>
      </c>
      <c r="T25" s="4" t="n">
        <v>70000</v>
      </c>
      <c r="U25" s="4" t="s">
        <v>607</v>
      </c>
      <c r="V25" s="4" t="s">
        <v>606</v>
      </c>
      <c r="W25" s="4" t="n">
        <v>1</v>
      </c>
      <c r="X25" s="4" t="n">
        <v>25000</v>
      </c>
      <c r="Y25" s="4" t="s">
        <v>58</v>
      </c>
      <c r="Z25" s="4"/>
      <c r="AA25" s="4"/>
      <c r="AB25" s="4"/>
      <c r="AC25" s="4"/>
      <c r="AD25" s="4" t="s">
        <v>641</v>
      </c>
      <c r="AE25" s="4" t="s">
        <v>63</v>
      </c>
      <c r="AF25" s="4" t="n">
        <v>4</v>
      </c>
      <c r="AG25" s="4" t="s">
        <v>57</v>
      </c>
      <c r="AH25" s="4" t="s">
        <v>57</v>
      </c>
      <c r="AI25" s="4" t="n">
        <v>25000</v>
      </c>
      <c r="AJ25" s="4" t="n">
        <v>0</v>
      </c>
      <c r="AK25" s="4" t="n">
        <v>0</v>
      </c>
      <c r="AL25" s="4" t="n">
        <v>1</v>
      </c>
    </row>
    <row r="26" customFormat="false" ht="102.2" hidden="false" customHeight="false" outlineLevel="0" collapsed="false">
      <c r="A26" s="4" t="s">
        <v>711</v>
      </c>
      <c r="B26" s="46" t="n">
        <v>46289</v>
      </c>
      <c r="C26" s="4" t="s">
        <v>590</v>
      </c>
      <c r="D26" s="4" t="s">
        <v>53</v>
      </c>
      <c r="E26" s="4" t="s">
        <v>95</v>
      </c>
      <c r="F26" s="4" t="s">
        <v>672</v>
      </c>
      <c r="G26" s="4" t="s">
        <v>96</v>
      </c>
      <c r="H26" s="4" t="s">
        <v>712</v>
      </c>
      <c r="I26" s="4" t="s">
        <v>603</v>
      </c>
      <c r="J26" s="4" t="s">
        <v>604</v>
      </c>
      <c r="K26" s="4" t="s">
        <v>605</v>
      </c>
      <c r="L26" s="4" t="s">
        <v>712</v>
      </c>
      <c r="M26" s="4" t="s">
        <v>667</v>
      </c>
      <c r="N26" s="4" t="s">
        <v>55</v>
      </c>
      <c r="O26" s="4" t="s">
        <v>56</v>
      </c>
      <c r="P26" s="4" t="s">
        <v>597</v>
      </c>
      <c r="Q26" s="4" t="n">
        <v>450000</v>
      </c>
      <c r="R26" s="4" t="s">
        <v>598</v>
      </c>
      <c r="S26" s="4" t="n">
        <v>12</v>
      </c>
      <c r="T26" s="4" t="n">
        <v>30000</v>
      </c>
      <c r="U26" s="4" t="s">
        <v>96</v>
      </c>
      <c r="V26" s="4" t="s">
        <v>599</v>
      </c>
      <c r="W26" s="4" t="n">
        <v>1</v>
      </c>
      <c r="X26" s="4" t="n">
        <v>15000</v>
      </c>
      <c r="Y26" s="4" t="s">
        <v>117</v>
      </c>
      <c r="Z26" s="4"/>
      <c r="AA26" s="4"/>
      <c r="AB26" s="4"/>
      <c r="AC26" s="4"/>
      <c r="AD26" s="4" t="s">
        <v>608</v>
      </c>
      <c r="AE26" s="4" t="s">
        <v>57</v>
      </c>
      <c r="AF26" s="4" t="n">
        <v>5</v>
      </c>
      <c r="AG26" s="4" t="s">
        <v>57</v>
      </c>
      <c r="AH26" s="4" t="s">
        <v>609</v>
      </c>
      <c r="AI26" s="4" t="n">
        <v>360000</v>
      </c>
      <c r="AJ26" s="4" t="n">
        <v>0</v>
      </c>
      <c r="AK26" s="4" t="n">
        <v>0</v>
      </c>
      <c r="AL26" s="4" t="n">
        <v>1</v>
      </c>
    </row>
    <row r="27" customFormat="false" ht="102.2" hidden="false" customHeight="false" outlineLevel="0" collapsed="false">
      <c r="A27" s="4" t="s">
        <v>713</v>
      </c>
      <c r="B27" s="46" t="n">
        <v>46289</v>
      </c>
      <c r="C27" s="4" t="s">
        <v>590</v>
      </c>
      <c r="D27" s="4" t="s">
        <v>116</v>
      </c>
      <c r="E27" s="4" t="s">
        <v>91</v>
      </c>
      <c r="F27" s="4" t="s">
        <v>688</v>
      </c>
      <c r="G27" s="4" t="s">
        <v>58</v>
      </c>
      <c r="H27" s="4" t="s">
        <v>714</v>
      </c>
      <c r="I27" s="4" t="s">
        <v>622</v>
      </c>
      <c r="J27" s="4" t="s">
        <v>594</v>
      </c>
      <c r="K27" s="4" t="s">
        <v>623</v>
      </c>
      <c r="L27" s="4" t="s">
        <v>714</v>
      </c>
      <c r="M27" s="4" t="s">
        <v>667</v>
      </c>
      <c r="N27" s="4" t="s">
        <v>55</v>
      </c>
      <c r="O27" s="4" t="s">
        <v>624</v>
      </c>
      <c r="P27" s="4" t="s">
        <v>597</v>
      </c>
      <c r="Q27" s="4" t="n">
        <v>160000</v>
      </c>
      <c r="R27" s="4" t="s">
        <v>598</v>
      </c>
      <c r="S27" s="4" t="n">
        <v>5</v>
      </c>
      <c r="T27" s="4" t="n">
        <v>20000</v>
      </c>
      <c r="U27" s="4" t="s">
        <v>58</v>
      </c>
      <c r="V27" s="4" t="s">
        <v>606</v>
      </c>
      <c r="W27" s="4" t="n">
        <v>1</v>
      </c>
      <c r="X27" s="4" t="n">
        <v>10000</v>
      </c>
      <c r="Y27" s="4" t="s">
        <v>117</v>
      </c>
      <c r="Z27" s="4"/>
      <c r="AA27" s="4"/>
      <c r="AB27" s="4"/>
      <c r="AC27" s="4"/>
      <c r="AD27" s="4" t="s">
        <v>594</v>
      </c>
      <c r="AE27" s="4" t="s">
        <v>63</v>
      </c>
      <c r="AF27" s="4" t="n">
        <v>3</v>
      </c>
      <c r="AG27" s="4" t="s">
        <v>67</v>
      </c>
      <c r="AH27" s="4" t="s">
        <v>57</v>
      </c>
      <c r="AI27" s="4" t="n">
        <v>100000</v>
      </c>
      <c r="AJ27" s="4" t="n">
        <v>0</v>
      </c>
      <c r="AK27" s="4" t="n">
        <v>0</v>
      </c>
      <c r="AL27" s="4" t="n">
        <v>0</v>
      </c>
    </row>
    <row r="28" customFormat="false" ht="91" hidden="false" customHeight="false" outlineLevel="0" collapsed="false">
      <c r="A28" s="4" t="s">
        <v>715</v>
      </c>
      <c r="B28" s="46" t="n">
        <v>46289</v>
      </c>
      <c r="C28" s="4" t="s">
        <v>590</v>
      </c>
      <c r="D28" s="4" t="s">
        <v>87</v>
      </c>
      <c r="E28" s="4" t="s">
        <v>54</v>
      </c>
      <c r="F28" s="4" t="s">
        <v>601</v>
      </c>
      <c r="G28" s="4" t="s">
        <v>96</v>
      </c>
      <c r="H28" s="4" t="s">
        <v>716</v>
      </c>
      <c r="I28" s="4" t="s">
        <v>593</v>
      </c>
      <c r="J28" s="4" t="s">
        <v>660</v>
      </c>
      <c r="K28" s="4" t="s">
        <v>661</v>
      </c>
      <c r="L28" s="4" t="s">
        <v>716</v>
      </c>
      <c r="M28" s="4" t="s">
        <v>667</v>
      </c>
      <c r="N28" s="4"/>
      <c r="O28" s="4" t="s">
        <v>66</v>
      </c>
      <c r="P28" s="4" t="s">
        <v>630</v>
      </c>
      <c r="Q28" s="4" t="n">
        <v>280000</v>
      </c>
      <c r="R28" s="4" t="s">
        <v>598</v>
      </c>
      <c r="S28" s="4" t="n">
        <v>8</v>
      </c>
      <c r="T28" s="4" t="n">
        <v>25000</v>
      </c>
      <c r="U28" s="4" t="s">
        <v>96</v>
      </c>
      <c r="V28" s="4" t="s">
        <v>606</v>
      </c>
      <c r="W28" s="4" t="n">
        <v>1</v>
      </c>
      <c r="X28" s="4" t="n">
        <v>15000</v>
      </c>
      <c r="Y28" s="4" t="s">
        <v>607</v>
      </c>
      <c r="Z28" s="4"/>
      <c r="AA28" s="4"/>
      <c r="AB28" s="4"/>
      <c r="AC28" s="4"/>
      <c r="AD28" s="4" t="s">
        <v>663</v>
      </c>
      <c r="AE28" s="4" t="s">
        <v>63</v>
      </c>
      <c r="AF28" s="4" t="n">
        <v>5</v>
      </c>
      <c r="AG28" s="4" t="s">
        <v>57</v>
      </c>
      <c r="AH28" s="4" t="s">
        <v>63</v>
      </c>
      <c r="AI28" s="4" t="n">
        <v>200000</v>
      </c>
      <c r="AJ28" s="4" t="n">
        <v>0</v>
      </c>
      <c r="AK28" s="4" t="n">
        <v>0</v>
      </c>
      <c r="AL28" s="4" t="n">
        <v>1</v>
      </c>
    </row>
    <row r="29" customFormat="false" ht="91" hidden="false" customHeight="false" outlineLevel="0" collapsed="false">
      <c r="A29" s="4" t="s">
        <v>717</v>
      </c>
      <c r="B29" s="46" t="n">
        <v>46289</v>
      </c>
      <c r="C29" s="4" t="s">
        <v>590</v>
      </c>
      <c r="D29" s="4" t="s">
        <v>643</v>
      </c>
      <c r="E29" s="4" t="s">
        <v>612</v>
      </c>
      <c r="F29" s="4" t="s">
        <v>613</v>
      </c>
      <c r="G29" s="4" t="s">
        <v>58</v>
      </c>
      <c r="H29" s="4"/>
      <c r="I29" s="4" t="s">
        <v>593</v>
      </c>
      <c r="J29" s="4" t="s">
        <v>615</v>
      </c>
      <c r="K29" s="4" t="s">
        <v>616</v>
      </c>
      <c r="L29" s="4" t="s">
        <v>718</v>
      </c>
      <c r="M29" s="4" t="s">
        <v>667</v>
      </c>
      <c r="N29" s="4"/>
      <c r="O29" s="4" t="s">
        <v>66</v>
      </c>
      <c r="P29" s="4" t="s">
        <v>648</v>
      </c>
      <c r="Q29" s="4" t="n">
        <v>180000</v>
      </c>
      <c r="R29" s="4" t="s">
        <v>618</v>
      </c>
      <c r="S29" s="4" t="n">
        <v>30</v>
      </c>
      <c r="T29" s="4" t="n">
        <v>4000</v>
      </c>
      <c r="U29" s="4" t="s">
        <v>117</v>
      </c>
      <c r="V29" s="4" t="s">
        <v>618</v>
      </c>
      <c r="W29" s="4" t="n">
        <v>30</v>
      </c>
      <c r="X29" s="4" t="n">
        <v>1500</v>
      </c>
      <c r="Y29" s="4" t="s">
        <v>58</v>
      </c>
      <c r="Z29" s="4"/>
      <c r="AA29" s="4"/>
      <c r="AB29" s="4"/>
      <c r="AC29" s="4"/>
      <c r="AD29" s="4" t="s">
        <v>615</v>
      </c>
      <c r="AE29" s="4" t="s">
        <v>63</v>
      </c>
      <c r="AF29" s="4" t="n">
        <v>4</v>
      </c>
      <c r="AG29" s="4" t="s">
        <v>57</v>
      </c>
      <c r="AH29" s="4" t="s">
        <v>57</v>
      </c>
      <c r="AI29" s="4" t="n">
        <v>45000</v>
      </c>
      <c r="AJ29" s="4" t="n">
        <v>0</v>
      </c>
      <c r="AK29" s="4" t="n">
        <v>0</v>
      </c>
      <c r="AL29" s="4" t="n">
        <v>1</v>
      </c>
    </row>
    <row r="30" customFormat="false" ht="102.2" hidden="false" customHeight="false" outlineLevel="0" collapsed="false">
      <c r="A30" s="4" t="s">
        <v>719</v>
      </c>
      <c r="B30" s="46" t="n">
        <v>46289</v>
      </c>
      <c r="C30" s="4" t="s">
        <v>590</v>
      </c>
      <c r="D30" s="4" t="s">
        <v>65</v>
      </c>
      <c r="E30" s="4" t="s">
        <v>659</v>
      </c>
      <c r="F30" s="4" t="s">
        <v>708</v>
      </c>
      <c r="G30" s="4" t="s">
        <v>58</v>
      </c>
      <c r="H30" s="4" t="s">
        <v>720</v>
      </c>
      <c r="I30" s="4" t="s">
        <v>679</v>
      </c>
      <c r="J30" s="4" t="s">
        <v>710</v>
      </c>
      <c r="K30" s="4" t="s">
        <v>639</v>
      </c>
      <c r="L30" s="4" t="s">
        <v>720</v>
      </c>
      <c r="M30" s="4" t="s">
        <v>667</v>
      </c>
      <c r="N30" s="4" t="s">
        <v>55</v>
      </c>
      <c r="O30" s="4" t="s">
        <v>66</v>
      </c>
      <c r="P30" s="4" t="s">
        <v>597</v>
      </c>
      <c r="Q30" s="4" t="n">
        <v>250000</v>
      </c>
      <c r="R30" s="4" t="s">
        <v>598</v>
      </c>
      <c r="S30" s="4" t="n">
        <v>3</v>
      </c>
      <c r="T30" s="4" t="n">
        <v>60000</v>
      </c>
      <c r="U30" s="4" t="s">
        <v>607</v>
      </c>
      <c r="V30" s="4" t="s">
        <v>606</v>
      </c>
      <c r="W30" s="4" t="n">
        <v>1</v>
      </c>
      <c r="X30" s="4" t="n">
        <v>20000</v>
      </c>
      <c r="Y30" s="4" t="s">
        <v>58</v>
      </c>
      <c r="Z30" s="4"/>
      <c r="AA30" s="4"/>
      <c r="AB30" s="4"/>
      <c r="AC30" s="4"/>
      <c r="AD30" s="4" t="s">
        <v>641</v>
      </c>
      <c r="AE30" s="4" t="s">
        <v>57</v>
      </c>
      <c r="AF30" s="4" t="n">
        <v>4</v>
      </c>
      <c r="AG30" s="4" t="s">
        <v>57</v>
      </c>
      <c r="AH30" s="4" t="s">
        <v>609</v>
      </c>
      <c r="AI30" s="4" t="n">
        <v>20000</v>
      </c>
      <c r="AJ30" s="4" t="n">
        <v>0</v>
      </c>
      <c r="AK30" s="4" t="n">
        <v>0</v>
      </c>
      <c r="AL30" s="4" t="n">
        <v>1</v>
      </c>
    </row>
    <row r="31" customFormat="false" ht="79.85" hidden="false" customHeight="false" outlineLevel="0" collapsed="false">
      <c r="A31" s="4" t="s">
        <v>721</v>
      </c>
      <c r="B31" s="46" t="n">
        <v>46289</v>
      </c>
      <c r="C31" s="4" t="s">
        <v>590</v>
      </c>
      <c r="D31" s="4" t="s">
        <v>676</v>
      </c>
      <c r="E31" s="4" t="s">
        <v>103</v>
      </c>
      <c r="F31" s="4" t="s">
        <v>691</v>
      </c>
      <c r="G31" s="4" t="s">
        <v>58</v>
      </c>
      <c r="H31" s="4" t="s">
        <v>722</v>
      </c>
      <c r="I31" s="4" t="s">
        <v>674</v>
      </c>
      <c r="J31" s="4" t="s">
        <v>604</v>
      </c>
      <c r="K31" s="4" t="s">
        <v>656</v>
      </c>
      <c r="L31" s="4" t="s">
        <v>722</v>
      </c>
      <c r="M31" s="4" t="s">
        <v>667</v>
      </c>
      <c r="N31" s="4"/>
      <c r="O31" s="4" t="s">
        <v>640</v>
      </c>
      <c r="P31" s="4" t="s">
        <v>617</v>
      </c>
      <c r="Q31" s="4" t="n">
        <v>90000</v>
      </c>
      <c r="R31" s="4" t="s">
        <v>598</v>
      </c>
      <c r="S31" s="4" t="n">
        <v>30</v>
      </c>
      <c r="T31" s="4" t="n">
        <v>2000</v>
      </c>
      <c r="U31" s="4" t="s">
        <v>117</v>
      </c>
      <c r="V31" s="4" t="s">
        <v>606</v>
      </c>
      <c r="W31" s="4" t="n">
        <v>1</v>
      </c>
      <c r="X31" s="4" t="n">
        <v>12000</v>
      </c>
      <c r="Y31" s="4" t="s">
        <v>58</v>
      </c>
      <c r="Z31" s="4"/>
      <c r="AA31" s="4"/>
      <c r="AB31" s="4"/>
      <c r="AC31" s="4"/>
      <c r="AD31" s="4" t="s">
        <v>608</v>
      </c>
      <c r="AE31" s="4" t="s">
        <v>63</v>
      </c>
      <c r="AF31" s="4" t="n">
        <v>3</v>
      </c>
      <c r="AG31" s="4" t="s">
        <v>63</v>
      </c>
      <c r="AH31" s="4" t="s">
        <v>57</v>
      </c>
      <c r="AI31" s="4" t="n">
        <v>12000</v>
      </c>
      <c r="AJ31" s="4" t="n">
        <v>0</v>
      </c>
      <c r="AK31" s="4" t="n">
        <v>0</v>
      </c>
      <c r="AL31" s="4" t="n">
        <v>0</v>
      </c>
    </row>
    <row r="32" customFormat="false" ht="91" hidden="false" customHeight="false" outlineLevel="0" collapsed="false">
      <c r="A32" s="4" t="s">
        <v>723</v>
      </c>
      <c r="B32" s="46" t="n">
        <v>46289</v>
      </c>
      <c r="C32" s="4" t="s">
        <v>590</v>
      </c>
      <c r="D32" s="4" t="s">
        <v>53</v>
      </c>
      <c r="E32" s="4" t="s">
        <v>54</v>
      </c>
      <c r="F32" s="4" t="s">
        <v>620</v>
      </c>
      <c r="G32" s="4" t="s">
        <v>58</v>
      </c>
      <c r="H32" s="4" t="s">
        <v>724</v>
      </c>
      <c r="I32" s="4" t="s">
        <v>593</v>
      </c>
      <c r="J32" s="4" t="s">
        <v>594</v>
      </c>
      <c r="K32" s="4" t="s">
        <v>623</v>
      </c>
      <c r="L32" s="4" t="s">
        <v>724</v>
      </c>
      <c r="M32" s="4" t="s">
        <v>667</v>
      </c>
      <c r="N32" s="4" t="s">
        <v>55</v>
      </c>
      <c r="O32" s="4" t="s">
        <v>66</v>
      </c>
      <c r="P32" s="4" t="s">
        <v>597</v>
      </c>
      <c r="Q32" s="4" t="n">
        <v>190000</v>
      </c>
      <c r="R32" s="4" t="s">
        <v>598</v>
      </c>
      <c r="S32" s="4" t="n">
        <v>6</v>
      </c>
      <c r="T32" s="4" t="n">
        <v>20000</v>
      </c>
      <c r="U32" s="4" t="s">
        <v>58</v>
      </c>
      <c r="V32" s="4" t="s">
        <v>618</v>
      </c>
      <c r="W32" s="4" t="n">
        <v>30</v>
      </c>
      <c r="X32" s="4" t="n">
        <v>1500</v>
      </c>
      <c r="Y32" s="4" t="s">
        <v>96</v>
      </c>
      <c r="Z32" s="4"/>
      <c r="AA32" s="4"/>
      <c r="AB32" s="4"/>
      <c r="AC32" s="4"/>
      <c r="AD32" s="4" t="s">
        <v>594</v>
      </c>
      <c r="AE32" s="4" t="s">
        <v>63</v>
      </c>
      <c r="AF32" s="4" t="n">
        <v>4</v>
      </c>
      <c r="AG32" s="4" t="s">
        <v>67</v>
      </c>
      <c r="AH32" s="4" t="s">
        <v>63</v>
      </c>
      <c r="AI32" s="4" t="n">
        <v>165000</v>
      </c>
      <c r="AJ32" s="4" t="n">
        <v>0</v>
      </c>
      <c r="AK32" s="4" t="n">
        <v>0</v>
      </c>
      <c r="AL32" s="4" t="n">
        <v>1</v>
      </c>
    </row>
    <row r="33" customFormat="false" ht="91" hidden="false" customHeight="false" outlineLevel="0" collapsed="false">
      <c r="A33" s="4" t="s">
        <v>725</v>
      </c>
      <c r="B33" s="46" t="n">
        <v>46289</v>
      </c>
      <c r="C33" s="4" t="s">
        <v>590</v>
      </c>
      <c r="D33" s="4" t="s">
        <v>116</v>
      </c>
      <c r="E33" s="4" t="s">
        <v>95</v>
      </c>
      <c r="F33" s="4" t="s">
        <v>726</v>
      </c>
      <c r="G33" s="4" t="s">
        <v>96</v>
      </c>
      <c r="H33" s="4" t="s">
        <v>727</v>
      </c>
      <c r="I33" s="4" t="s">
        <v>666</v>
      </c>
      <c r="J33" s="4" t="s">
        <v>604</v>
      </c>
      <c r="K33" s="4" t="s">
        <v>605</v>
      </c>
      <c r="L33" s="4" t="s">
        <v>727</v>
      </c>
      <c r="M33" s="4" t="s">
        <v>667</v>
      </c>
      <c r="N33" s="4" t="s">
        <v>55</v>
      </c>
      <c r="O33" s="4" t="s">
        <v>56</v>
      </c>
      <c r="P33" s="4" t="s">
        <v>597</v>
      </c>
      <c r="Q33" s="4" t="n">
        <v>350000</v>
      </c>
      <c r="R33" s="4" t="s">
        <v>598</v>
      </c>
      <c r="S33" s="4" t="n">
        <v>10</v>
      </c>
      <c r="T33" s="4" t="n">
        <v>25000</v>
      </c>
      <c r="U33" s="4" t="s">
        <v>96</v>
      </c>
      <c r="V33" s="4" t="s">
        <v>599</v>
      </c>
      <c r="W33" s="4" t="n">
        <v>1</v>
      </c>
      <c r="X33" s="4" t="n">
        <v>12000</v>
      </c>
      <c r="Y33" s="4" t="s">
        <v>58</v>
      </c>
      <c r="Z33" s="4"/>
      <c r="AA33" s="4"/>
      <c r="AB33" s="4"/>
      <c r="AC33" s="4"/>
      <c r="AD33" s="4" t="s">
        <v>608</v>
      </c>
      <c r="AE33" s="4" t="s">
        <v>63</v>
      </c>
      <c r="AF33" s="4" t="n">
        <v>5</v>
      </c>
      <c r="AG33" s="4" t="s">
        <v>57</v>
      </c>
      <c r="AH33" s="4" t="s">
        <v>609</v>
      </c>
      <c r="AI33" s="4" t="n">
        <v>262000</v>
      </c>
      <c r="AJ33" s="4" t="n">
        <v>0</v>
      </c>
      <c r="AK33" s="4" t="n">
        <v>0</v>
      </c>
      <c r="AL33" s="4" t="n">
        <v>1</v>
      </c>
    </row>
    <row r="34" customFormat="false" ht="91" hidden="false" customHeight="false" outlineLevel="0" collapsed="false">
      <c r="A34" s="4" t="s">
        <v>728</v>
      </c>
      <c r="B34" s="46" t="n">
        <v>46289</v>
      </c>
      <c r="C34" s="4" t="s">
        <v>590</v>
      </c>
      <c r="D34" s="4" t="s">
        <v>87</v>
      </c>
      <c r="E34" s="4" t="s">
        <v>91</v>
      </c>
      <c r="F34" s="4" t="s">
        <v>677</v>
      </c>
      <c r="G34" s="4" t="s">
        <v>58</v>
      </c>
      <c r="H34" s="4" t="s">
        <v>729</v>
      </c>
      <c r="I34" s="4" t="s">
        <v>593</v>
      </c>
      <c r="J34" s="4" t="s">
        <v>594</v>
      </c>
      <c r="K34" s="4" t="s">
        <v>595</v>
      </c>
      <c r="L34" s="4" t="s">
        <v>729</v>
      </c>
      <c r="M34" s="4" t="s">
        <v>667</v>
      </c>
      <c r="N34" s="4"/>
      <c r="O34" s="4" t="s">
        <v>66</v>
      </c>
      <c r="P34" s="4" t="s">
        <v>630</v>
      </c>
      <c r="Q34" s="4" t="n">
        <v>150000</v>
      </c>
      <c r="R34" s="4" t="s">
        <v>598</v>
      </c>
      <c r="S34" s="4" t="n">
        <v>5</v>
      </c>
      <c r="T34" s="4" t="n">
        <v>20000</v>
      </c>
      <c r="U34" s="4" t="s">
        <v>58</v>
      </c>
      <c r="V34" s="4" t="s">
        <v>606</v>
      </c>
      <c r="W34" s="4" t="n">
        <v>1</v>
      </c>
      <c r="X34" s="4" t="n">
        <v>15000</v>
      </c>
      <c r="Y34" s="4" t="s">
        <v>607</v>
      </c>
      <c r="Z34" s="4"/>
      <c r="AA34" s="4"/>
      <c r="AB34" s="4"/>
      <c r="AC34" s="4"/>
      <c r="AD34" s="4" t="s">
        <v>594</v>
      </c>
      <c r="AE34" s="4" t="s">
        <v>63</v>
      </c>
      <c r="AF34" s="4" t="n">
        <v>4</v>
      </c>
      <c r="AG34" s="4" t="s">
        <v>57</v>
      </c>
      <c r="AH34" s="4" t="s">
        <v>63</v>
      </c>
      <c r="AI34" s="4" t="n">
        <v>100000</v>
      </c>
      <c r="AJ34" s="4" t="n">
        <v>0</v>
      </c>
      <c r="AK34" s="4" t="n">
        <v>0</v>
      </c>
      <c r="AL34" s="4" t="n">
        <v>1</v>
      </c>
    </row>
    <row r="35" customFormat="false" ht="91" hidden="false" customHeight="false" outlineLevel="0" collapsed="false">
      <c r="A35" s="4" t="s">
        <v>730</v>
      </c>
      <c r="B35" s="46" t="n">
        <v>46289</v>
      </c>
      <c r="C35" s="4" t="s">
        <v>590</v>
      </c>
      <c r="D35" s="4" t="s">
        <v>611</v>
      </c>
      <c r="E35" s="4" t="s">
        <v>612</v>
      </c>
      <c r="F35" s="4" t="s">
        <v>613</v>
      </c>
      <c r="G35" s="4" t="s">
        <v>58</v>
      </c>
      <c r="H35" s="4" t="s">
        <v>731</v>
      </c>
      <c r="I35" s="4" t="s">
        <v>593</v>
      </c>
      <c r="J35" s="4" t="s">
        <v>615</v>
      </c>
      <c r="K35" s="4" t="s">
        <v>616</v>
      </c>
      <c r="L35" s="4" t="s">
        <v>731</v>
      </c>
      <c r="M35" s="4" t="s">
        <v>667</v>
      </c>
      <c r="N35" s="4"/>
      <c r="O35" s="4" t="s">
        <v>66</v>
      </c>
      <c r="P35" s="4" t="s">
        <v>617</v>
      </c>
      <c r="Q35" s="4" t="n">
        <v>110000</v>
      </c>
      <c r="R35" s="4" t="s">
        <v>618</v>
      </c>
      <c r="S35" s="4" t="n">
        <v>30</v>
      </c>
      <c r="T35" s="4" t="n">
        <v>2500</v>
      </c>
      <c r="U35" s="4" t="s">
        <v>117</v>
      </c>
      <c r="V35" s="4" t="s">
        <v>618</v>
      </c>
      <c r="W35" s="4" t="n">
        <v>30</v>
      </c>
      <c r="X35" s="4" t="n">
        <v>1000</v>
      </c>
      <c r="Y35" s="4" t="s">
        <v>58</v>
      </c>
      <c r="Z35" s="4"/>
      <c r="AA35" s="4"/>
      <c r="AB35" s="4"/>
      <c r="AC35" s="4"/>
      <c r="AD35" s="4" t="s">
        <v>615</v>
      </c>
      <c r="AE35" s="4" t="s">
        <v>63</v>
      </c>
      <c r="AF35" s="4" t="n">
        <v>5</v>
      </c>
      <c r="AG35" s="4" t="s">
        <v>57</v>
      </c>
      <c r="AH35" s="4" t="s">
        <v>57</v>
      </c>
      <c r="AI35" s="4" t="n">
        <v>30000</v>
      </c>
      <c r="AJ35" s="4" t="n">
        <v>0</v>
      </c>
      <c r="AK35" s="4" t="n">
        <v>0</v>
      </c>
      <c r="AL35" s="4" t="n">
        <v>1</v>
      </c>
    </row>
    <row r="36" customFormat="false" ht="102.2" hidden="false" customHeight="false" outlineLevel="0" collapsed="false">
      <c r="A36" s="4" t="s">
        <v>732</v>
      </c>
      <c r="B36" s="46" t="n">
        <v>46289</v>
      </c>
      <c r="C36" s="4" t="s">
        <v>590</v>
      </c>
      <c r="D36" s="4" t="s">
        <v>65</v>
      </c>
      <c r="E36" s="4" t="s">
        <v>650</v>
      </c>
      <c r="F36" s="4" t="s">
        <v>626</v>
      </c>
      <c r="G36" s="4" t="s">
        <v>96</v>
      </c>
      <c r="H36" s="4" t="s">
        <v>733</v>
      </c>
      <c r="I36" s="4" t="s">
        <v>622</v>
      </c>
      <c r="J36" s="4" t="s">
        <v>594</v>
      </c>
      <c r="K36" s="4" t="s">
        <v>623</v>
      </c>
      <c r="L36" s="4" t="s">
        <v>733</v>
      </c>
      <c r="M36" s="4" t="s">
        <v>667</v>
      </c>
      <c r="N36" s="4" t="s">
        <v>55</v>
      </c>
      <c r="O36" s="4" t="s">
        <v>624</v>
      </c>
      <c r="P36" s="4" t="s">
        <v>597</v>
      </c>
      <c r="Q36" s="4" t="n">
        <v>70000</v>
      </c>
      <c r="R36" s="4" t="s">
        <v>598</v>
      </c>
      <c r="S36" s="4" t="n">
        <v>2</v>
      </c>
      <c r="T36" s="4" t="n">
        <v>25000</v>
      </c>
      <c r="U36" s="4" t="s">
        <v>96</v>
      </c>
      <c r="V36" s="4" t="s">
        <v>606</v>
      </c>
      <c r="W36" s="4" t="n">
        <v>1</v>
      </c>
      <c r="X36" s="4" t="n">
        <v>10000</v>
      </c>
      <c r="Y36" s="4" t="s">
        <v>58</v>
      </c>
      <c r="Z36" s="4"/>
      <c r="AA36" s="4"/>
      <c r="AB36" s="4"/>
      <c r="AC36" s="4"/>
      <c r="AD36" s="4" t="s">
        <v>594</v>
      </c>
      <c r="AE36" s="4" t="s">
        <v>63</v>
      </c>
      <c r="AF36" s="4" t="n">
        <v>4</v>
      </c>
      <c r="AG36" s="4" t="s">
        <v>67</v>
      </c>
      <c r="AH36" s="4" t="s">
        <v>63</v>
      </c>
      <c r="AI36" s="4" t="n">
        <v>60000</v>
      </c>
      <c r="AJ36" s="4" t="n">
        <v>0</v>
      </c>
      <c r="AK36" s="4" t="n">
        <v>0</v>
      </c>
      <c r="AL36" s="4" t="n">
        <v>0</v>
      </c>
    </row>
    <row r="37" customFormat="false" ht="102.2" hidden="false" customHeight="false" outlineLevel="0" collapsed="false">
      <c r="A37" s="4" t="s">
        <v>734</v>
      </c>
      <c r="B37" s="46" t="n">
        <v>46289</v>
      </c>
      <c r="C37" s="4" t="s">
        <v>590</v>
      </c>
      <c r="D37" s="4" t="s">
        <v>696</v>
      </c>
      <c r="E37" s="4" t="s">
        <v>113</v>
      </c>
      <c r="F37" s="4" t="s">
        <v>634</v>
      </c>
      <c r="G37" s="4" t="s">
        <v>635</v>
      </c>
      <c r="H37" s="4"/>
      <c r="I37" s="4" t="s">
        <v>679</v>
      </c>
      <c r="J37" s="4" t="s">
        <v>710</v>
      </c>
      <c r="K37" s="4" t="s">
        <v>699</v>
      </c>
      <c r="L37" s="4" t="s">
        <v>735</v>
      </c>
      <c r="M37" s="4" t="s">
        <v>667</v>
      </c>
      <c r="N37" s="4" t="s">
        <v>55</v>
      </c>
      <c r="O37" s="4" t="s">
        <v>66</v>
      </c>
      <c r="P37" s="4" t="s">
        <v>597</v>
      </c>
      <c r="Q37" s="4" t="n">
        <v>320000</v>
      </c>
      <c r="R37" s="4" t="s">
        <v>598</v>
      </c>
      <c r="S37" s="4" t="n">
        <v>5</v>
      </c>
      <c r="T37" s="4" t="n">
        <v>40000</v>
      </c>
      <c r="U37" s="4" t="s">
        <v>607</v>
      </c>
      <c r="V37" s="4" t="s">
        <v>599</v>
      </c>
      <c r="W37" s="4" t="n">
        <v>1</v>
      </c>
      <c r="X37" s="4" t="n">
        <v>15000</v>
      </c>
      <c r="Y37" s="4" t="s">
        <v>117</v>
      </c>
      <c r="Z37" s="4"/>
      <c r="AA37" s="4"/>
      <c r="AB37" s="4"/>
      <c r="AC37" s="4"/>
      <c r="AD37" s="4" t="s">
        <v>641</v>
      </c>
      <c r="AE37" s="4" t="s">
        <v>57</v>
      </c>
      <c r="AF37" s="4" t="n">
        <v>3</v>
      </c>
      <c r="AG37" s="4" t="s">
        <v>67</v>
      </c>
      <c r="AH37" s="4" t="s">
        <v>57</v>
      </c>
      <c r="AI37" s="4" t="n">
        <v>0</v>
      </c>
      <c r="AJ37" s="4" t="n">
        <v>0</v>
      </c>
      <c r="AK37" s="4"/>
      <c r="AL37" s="4" t="n">
        <v>1</v>
      </c>
    </row>
    <row r="38" customFormat="false" ht="91" hidden="false" customHeight="false" outlineLevel="0" collapsed="false">
      <c r="A38" s="4" t="s">
        <v>736</v>
      </c>
      <c r="B38" s="46" t="n">
        <v>46289</v>
      </c>
      <c r="C38" s="4" t="s">
        <v>590</v>
      </c>
      <c r="D38" s="4" t="s">
        <v>53</v>
      </c>
      <c r="E38" s="4" t="s">
        <v>633</v>
      </c>
      <c r="F38" s="4" t="s">
        <v>626</v>
      </c>
      <c r="G38" s="4" t="s">
        <v>96</v>
      </c>
      <c r="H38" s="4" t="s">
        <v>737</v>
      </c>
      <c r="I38" s="4" t="s">
        <v>666</v>
      </c>
      <c r="J38" s="4" t="s">
        <v>594</v>
      </c>
      <c r="K38" s="4" t="s">
        <v>595</v>
      </c>
      <c r="L38" s="4" t="s">
        <v>737</v>
      </c>
      <c r="M38" s="4" t="s">
        <v>667</v>
      </c>
      <c r="N38" s="4" t="s">
        <v>55</v>
      </c>
      <c r="O38" s="4" t="s">
        <v>56</v>
      </c>
      <c r="P38" s="4" t="s">
        <v>597</v>
      </c>
      <c r="Q38" s="4" t="n">
        <v>250000</v>
      </c>
      <c r="R38" s="4" t="s">
        <v>598</v>
      </c>
      <c r="S38" s="4" t="n">
        <v>4</v>
      </c>
      <c r="T38" s="4" t="n">
        <v>45000</v>
      </c>
      <c r="U38" s="4" t="s">
        <v>96</v>
      </c>
      <c r="V38" s="4" t="s">
        <v>606</v>
      </c>
      <c r="W38" s="4" t="n">
        <v>1</v>
      </c>
      <c r="X38" s="4" t="n">
        <v>18000</v>
      </c>
      <c r="Y38" s="4" t="s">
        <v>58</v>
      </c>
      <c r="Z38" s="4"/>
      <c r="AA38" s="4"/>
      <c r="AB38" s="4"/>
      <c r="AC38" s="4"/>
      <c r="AD38" s="4" t="s">
        <v>594</v>
      </c>
      <c r="AE38" s="4" t="s">
        <v>63</v>
      </c>
      <c r="AF38" s="4" t="n">
        <v>4</v>
      </c>
      <c r="AG38" s="4" t="s">
        <v>57</v>
      </c>
      <c r="AH38" s="4" t="s">
        <v>609</v>
      </c>
      <c r="AI38" s="4" t="n">
        <v>198000</v>
      </c>
      <c r="AJ38" s="4" t="n">
        <v>0</v>
      </c>
      <c r="AK38" s="4" t="n">
        <v>0</v>
      </c>
      <c r="AL38" s="4" t="n">
        <v>1</v>
      </c>
    </row>
    <row r="39" customFormat="false" ht="91" hidden="false" customHeight="false" outlineLevel="0" collapsed="false">
      <c r="A39" s="4" t="s">
        <v>738</v>
      </c>
      <c r="B39" s="46" t="n">
        <v>46289</v>
      </c>
      <c r="C39" s="4" t="s">
        <v>590</v>
      </c>
      <c r="D39" s="4" t="s">
        <v>75</v>
      </c>
      <c r="E39" s="4" t="s">
        <v>54</v>
      </c>
      <c r="F39" s="4" t="s">
        <v>701</v>
      </c>
      <c r="G39" s="4" t="s">
        <v>58</v>
      </c>
      <c r="H39" s="4"/>
      <c r="I39" s="4" t="s">
        <v>593</v>
      </c>
      <c r="J39" s="4" t="s">
        <v>615</v>
      </c>
      <c r="K39" s="4" t="s">
        <v>616</v>
      </c>
      <c r="L39" s="4" t="s">
        <v>739</v>
      </c>
      <c r="M39" s="4" t="s">
        <v>667</v>
      </c>
      <c r="N39" s="4"/>
      <c r="O39" s="4" t="s">
        <v>66</v>
      </c>
      <c r="P39" s="4" t="s">
        <v>617</v>
      </c>
      <c r="Q39" s="4" t="n">
        <v>200000</v>
      </c>
      <c r="R39" s="4" t="s">
        <v>598</v>
      </c>
      <c r="S39" s="4" t="n">
        <v>6</v>
      </c>
      <c r="T39" s="4" t="n">
        <v>18000</v>
      </c>
      <c r="U39" s="4" t="s">
        <v>58</v>
      </c>
      <c r="V39" s="4" t="s">
        <v>618</v>
      </c>
      <c r="W39" s="4" t="n">
        <v>30</v>
      </c>
      <c r="X39" s="4" t="n">
        <v>1500</v>
      </c>
      <c r="Y39" s="4" t="s">
        <v>117</v>
      </c>
      <c r="Z39" s="4"/>
      <c r="AA39" s="4"/>
      <c r="AB39" s="4"/>
      <c r="AC39" s="4"/>
      <c r="AD39" s="4" t="s">
        <v>615</v>
      </c>
      <c r="AE39" s="4" t="s">
        <v>63</v>
      </c>
      <c r="AF39" s="4" t="n">
        <v>5</v>
      </c>
      <c r="AG39" s="4" t="s">
        <v>57</v>
      </c>
      <c r="AH39" s="4" t="s">
        <v>57</v>
      </c>
      <c r="AI39" s="4" t="n">
        <v>108000</v>
      </c>
      <c r="AJ39" s="4" t="n">
        <v>0</v>
      </c>
      <c r="AK39" s="4" t="n">
        <v>0</v>
      </c>
      <c r="AL39" s="4" t="n">
        <v>1</v>
      </c>
    </row>
    <row r="40" customFormat="false" ht="91" hidden="false" customHeight="false" outlineLevel="0" collapsed="false">
      <c r="A40" s="4" t="s">
        <v>740</v>
      </c>
      <c r="B40" s="46" t="n">
        <v>46289</v>
      </c>
      <c r="C40" s="4" t="s">
        <v>590</v>
      </c>
      <c r="D40" s="4" t="s">
        <v>684</v>
      </c>
      <c r="E40" s="4" t="s">
        <v>612</v>
      </c>
      <c r="F40" s="4" t="s">
        <v>705</v>
      </c>
      <c r="G40" s="4" t="s">
        <v>96</v>
      </c>
      <c r="H40" s="4" t="s">
        <v>741</v>
      </c>
      <c r="I40" s="4" t="s">
        <v>593</v>
      </c>
      <c r="J40" s="4" t="s">
        <v>594</v>
      </c>
      <c r="K40" s="4" t="s">
        <v>595</v>
      </c>
      <c r="L40" s="4" t="s">
        <v>741</v>
      </c>
      <c r="M40" s="4" t="s">
        <v>667</v>
      </c>
      <c r="N40" s="4" t="s">
        <v>55</v>
      </c>
      <c r="O40" s="4" t="s">
        <v>66</v>
      </c>
      <c r="P40" s="4" t="s">
        <v>597</v>
      </c>
      <c r="Q40" s="4" t="n">
        <v>130000</v>
      </c>
      <c r="R40" s="4" t="s">
        <v>618</v>
      </c>
      <c r="S40" s="4" t="n">
        <v>30</v>
      </c>
      <c r="T40" s="4" t="n">
        <v>3000</v>
      </c>
      <c r="U40" s="4" t="s">
        <v>96</v>
      </c>
      <c r="V40" s="4" t="s">
        <v>598</v>
      </c>
      <c r="W40" s="4" t="n">
        <v>3</v>
      </c>
      <c r="X40" s="4" t="n">
        <v>15000</v>
      </c>
      <c r="Y40" s="4" t="s">
        <v>58</v>
      </c>
      <c r="Z40" s="4"/>
      <c r="AA40" s="4"/>
      <c r="AB40" s="4"/>
      <c r="AC40" s="4"/>
      <c r="AD40" s="4" t="s">
        <v>594</v>
      </c>
      <c r="AE40" s="4" t="s">
        <v>63</v>
      </c>
      <c r="AF40" s="4" t="n">
        <v>4</v>
      </c>
      <c r="AG40" s="4" t="s">
        <v>57</v>
      </c>
      <c r="AH40" s="4" t="s">
        <v>63</v>
      </c>
      <c r="AI40" s="4" t="n">
        <v>135000</v>
      </c>
      <c r="AJ40" s="4" t="n">
        <v>0</v>
      </c>
      <c r="AK40" s="4" t="n">
        <v>0</v>
      </c>
      <c r="AL40" s="4" t="n">
        <v>1</v>
      </c>
    </row>
    <row r="41" customFormat="false" ht="79.85" hidden="false" customHeight="false" outlineLevel="0" collapsed="false">
      <c r="A41" s="4" t="s">
        <v>742</v>
      </c>
      <c r="B41" s="46" t="n">
        <v>46289</v>
      </c>
      <c r="C41" s="4" t="s">
        <v>590</v>
      </c>
      <c r="D41" s="4" t="s">
        <v>116</v>
      </c>
      <c r="E41" s="4" t="s">
        <v>659</v>
      </c>
      <c r="F41" s="4" t="s">
        <v>708</v>
      </c>
      <c r="G41" s="4" t="s">
        <v>58</v>
      </c>
      <c r="H41" s="4" t="s">
        <v>743</v>
      </c>
      <c r="I41" s="4" t="s">
        <v>674</v>
      </c>
      <c r="J41" s="4" t="s">
        <v>604</v>
      </c>
      <c r="K41" s="4" t="s">
        <v>656</v>
      </c>
      <c r="L41" s="4" t="s">
        <v>743</v>
      </c>
      <c r="M41" s="4" t="s">
        <v>667</v>
      </c>
      <c r="N41" s="4" t="s">
        <v>55</v>
      </c>
      <c r="O41" s="4" t="s">
        <v>640</v>
      </c>
      <c r="P41" s="4" t="s">
        <v>597</v>
      </c>
      <c r="Q41" s="4" t="n">
        <v>180000</v>
      </c>
      <c r="R41" s="4" t="s">
        <v>598</v>
      </c>
      <c r="S41" s="4" t="n">
        <v>2</v>
      </c>
      <c r="T41" s="4" t="n">
        <v>70000</v>
      </c>
      <c r="U41" s="4" t="s">
        <v>607</v>
      </c>
      <c r="V41" s="4" t="s">
        <v>606</v>
      </c>
      <c r="W41" s="4" t="n">
        <v>1</v>
      </c>
      <c r="X41" s="4" t="n">
        <v>12000</v>
      </c>
      <c r="Y41" s="4" t="s">
        <v>58</v>
      </c>
      <c r="Z41" s="4"/>
      <c r="AA41" s="4"/>
      <c r="AB41" s="4"/>
      <c r="AC41" s="4"/>
      <c r="AD41" s="4" t="s">
        <v>608</v>
      </c>
      <c r="AE41" s="4" t="s">
        <v>63</v>
      </c>
      <c r="AF41" s="4" t="n">
        <v>4</v>
      </c>
      <c r="AG41" s="4" t="s">
        <v>67</v>
      </c>
      <c r="AH41" s="4" t="s">
        <v>57</v>
      </c>
      <c r="AI41" s="4" t="n">
        <v>12000</v>
      </c>
      <c r="AJ41" s="4" t="n">
        <v>0</v>
      </c>
      <c r="AK41" s="4" t="n">
        <v>0</v>
      </c>
      <c r="AL41" s="4" t="n">
        <v>0</v>
      </c>
    </row>
    <row r="42" customFormat="false" ht="91" hidden="false" customHeight="false" outlineLevel="0" collapsed="false">
      <c r="A42" s="4" t="s">
        <v>744</v>
      </c>
      <c r="B42" s="46" t="n">
        <v>46289</v>
      </c>
      <c r="C42" s="4" t="s">
        <v>590</v>
      </c>
      <c r="D42" s="4" t="s">
        <v>65</v>
      </c>
      <c r="E42" s="4" t="s">
        <v>103</v>
      </c>
      <c r="F42" s="4" t="s">
        <v>691</v>
      </c>
      <c r="G42" s="4" t="s">
        <v>58</v>
      </c>
      <c r="H42" s="4" t="s">
        <v>745</v>
      </c>
      <c r="I42" s="4" t="s">
        <v>593</v>
      </c>
      <c r="J42" s="4" t="s">
        <v>615</v>
      </c>
      <c r="K42" s="4" t="s">
        <v>616</v>
      </c>
      <c r="L42" s="4" t="s">
        <v>745</v>
      </c>
      <c r="M42" s="4" t="s">
        <v>667</v>
      </c>
      <c r="N42" s="4"/>
      <c r="O42" s="4" t="s">
        <v>66</v>
      </c>
      <c r="P42" s="4" t="s">
        <v>648</v>
      </c>
      <c r="Q42" s="4" t="n">
        <v>85000</v>
      </c>
      <c r="R42" s="4" t="s">
        <v>598</v>
      </c>
      <c r="S42" s="4" t="n">
        <v>30</v>
      </c>
      <c r="T42" s="4" t="n">
        <v>1800</v>
      </c>
      <c r="U42" s="4" t="s">
        <v>117</v>
      </c>
      <c r="V42" s="4" t="s">
        <v>606</v>
      </c>
      <c r="W42" s="4" t="n">
        <v>1</v>
      </c>
      <c r="X42" s="4" t="n">
        <v>10000</v>
      </c>
      <c r="Y42" s="4" t="s">
        <v>58</v>
      </c>
      <c r="Z42" s="4"/>
      <c r="AA42" s="4"/>
      <c r="AB42" s="4"/>
      <c r="AC42" s="4"/>
      <c r="AD42" s="4" t="s">
        <v>615</v>
      </c>
      <c r="AE42" s="4" t="s">
        <v>63</v>
      </c>
      <c r="AF42" s="4" t="n">
        <v>5</v>
      </c>
      <c r="AG42" s="4" t="s">
        <v>57</v>
      </c>
      <c r="AH42" s="4" t="s">
        <v>57</v>
      </c>
      <c r="AI42" s="4" t="n">
        <v>10000</v>
      </c>
      <c r="AJ42" s="4" t="n">
        <v>0</v>
      </c>
      <c r="AK42" s="4" t="n">
        <v>0</v>
      </c>
      <c r="AL42" s="4" t="n">
        <v>1</v>
      </c>
    </row>
    <row r="43" customFormat="false" ht="102.2" hidden="false" customHeight="false" outlineLevel="0" collapsed="false">
      <c r="A43" s="4" t="s">
        <v>746</v>
      </c>
      <c r="B43" s="46" t="n">
        <v>46289</v>
      </c>
      <c r="C43" s="4" t="s">
        <v>590</v>
      </c>
      <c r="D43" s="4" t="s">
        <v>87</v>
      </c>
      <c r="E43" s="4" t="s">
        <v>95</v>
      </c>
      <c r="F43" s="4" t="s">
        <v>726</v>
      </c>
      <c r="G43" s="4" t="s">
        <v>96</v>
      </c>
      <c r="H43" s="4"/>
      <c r="I43" s="4" t="s">
        <v>679</v>
      </c>
      <c r="J43" s="4" t="s">
        <v>594</v>
      </c>
      <c r="K43" s="4" t="s">
        <v>595</v>
      </c>
      <c r="L43" s="4" t="s">
        <v>747</v>
      </c>
      <c r="M43" s="4" t="s">
        <v>667</v>
      </c>
      <c r="N43" s="4" t="s">
        <v>55</v>
      </c>
      <c r="O43" s="4" t="s">
        <v>66</v>
      </c>
      <c r="P43" s="4" t="s">
        <v>597</v>
      </c>
      <c r="Q43" s="4" t="n">
        <v>380000</v>
      </c>
      <c r="R43" s="4" t="s">
        <v>598</v>
      </c>
      <c r="S43" s="4" t="n">
        <v>10</v>
      </c>
      <c r="T43" s="4" t="n">
        <v>25000</v>
      </c>
      <c r="U43" s="4" t="s">
        <v>96</v>
      </c>
      <c r="V43" s="4" t="s">
        <v>599</v>
      </c>
      <c r="W43" s="4" t="n">
        <v>1</v>
      </c>
      <c r="X43" s="4" t="n">
        <v>12000</v>
      </c>
      <c r="Y43" s="4" t="s">
        <v>58</v>
      </c>
      <c r="Z43" s="4"/>
      <c r="AA43" s="4"/>
      <c r="AB43" s="4"/>
      <c r="AC43" s="4"/>
      <c r="AD43" s="4" t="s">
        <v>594</v>
      </c>
      <c r="AE43" s="4" t="s">
        <v>57</v>
      </c>
      <c r="AF43" s="4" t="n">
        <v>5</v>
      </c>
      <c r="AG43" s="4" t="s">
        <v>57</v>
      </c>
      <c r="AH43" s="4" t="s">
        <v>609</v>
      </c>
      <c r="AI43" s="4" t="n">
        <v>262000</v>
      </c>
      <c r="AJ43" s="4" t="n">
        <v>0</v>
      </c>
      <c r="AK43" s="4" t="n">
        <v>0</v>
      </c>
      <c r="AL43" s="4" t="n">
        <v>1</v>
      </c>
    </row>
    <row r="44" customFormat="false" ht="91" hidden="false" customHeight="false" outlineLevel="0" collapsed="false">
      <c r="A44" s="4" t="s">
        <v>748</v>
      </c>
      <c r="B44" s="46" t="n">
        <v>46289</v>
      </c>
      <c r="C44" s="4" t="s">
        <v>590</v>
      </c>
      <c r="D44" s="4" t="s">
        <v>676</v>
      </c>
      <c r="E44" s="4" t="s">
        <v>54</v>
      </c>
      <c r="F44" s="4" t="s">
        <v>677</v>
      </c>
      <c r="G44" s="4" t="s">
        <v>58</v>
      </c>
      <c r="H44" s="4" t="s">
        <v>749</v>
      </c>
      <c r="I44" s="4" t="s">
        <v>666</v>
      </c>
      <c r="J44" s="4" t="s">
        <v>604</v>
      </c>
      <c r="K44" s="4" t="s">
        <v>656</v>
      </c>
      <c r="L44" s="4" t="s">
        <v>749</v>
      </c>
      <c r="M44" s="4" t="s">
        <v>667</v>
      </c>
      <c r="N44" s="4" t="s">
        <v>55</v>
      </c>
      <c r="O44" s="4" t="s">
        <v>56</v>
      </c>
      <c r="P44" s="4" t="s">
        <v>597</v>
      </c>
      <c r="Q44" s="4" t="n">
        <v>210000</v>
      </c>
      <c r="R44" s="4" t="s">
        <v>598</v>
      </c>
      <c r="S44" s="4" t="n">
        <v>6</v>
      </c>
      <c r="T44" s="4" t="n">
        <v>20000</v>
      </c>
      <c r="U44" s="4" t="s">
        <v>58</v>
      </c>
      <c r="V44" s="4" t="s">
        <v>606</v>
      </c>
      <c r="W44" s="4" t="n">
        <v>1</v>
      </c>
      <c r="X44" s="4" t="n">
        <v>15000</v>
      </c>
      <c r="Y44" s="4" t="s">
        <v>607</v>
      </c>
      <c r="Z44" s="4"/>
      <c r="AA44" s="4"/>
      <c r="AB44" s="4"/>
      <c r="AC44" s="4"/>
      <c r="AD44" s="4" t="s">
        <v>608</v>
      </c>
      <c r="AE44" s="4" t="s">
        <v>63</v>
      </c>
      <c r="AF44" s="4" t="n">
        <v>4</v>
      </c>
      <c r="AG44" s="4" t="s">
        <v>67</v>
      </c>
      <c r="AH44" s="4" t="s">
        <v>57</v>
      </c>
      <c r="AI44" s="4" t="n">
        <v>120000</v>
      </c>
      <c r="AJ44" s="4" t="n">
        <v>0</v>
      </c>
      <c r="AK44" s="4" t="n">
        <v>0</v>
      </c>
      <c r="AL44" s="4" t="n">
        <v>1</v>
      </c>
    </row>
    <row r="45" customFormat="false" ht="91" hidden="false" customHeight="false" outlineLevel="0" collapsed="false">
      <c r="A45" s="4" t="s">
        <v>750</v>
      </c>
      <c r="B45" s="46" t="n">
        <v>46289</v>
      </c>
      <c r="C45" s="4" t="s">
        <v>590</v>
      </c>
      <c r="D45" s="4" t="s">
        <v>53</v>
      </c>
      <c r="E45" s="4" t="s">
        <v>91</v>
      </c>
      <c r="F45" s="4" t="s">
        <v>751</v>
      </c>
      <c r="G45" s="4" t="s">
        <v>96</v>
      </c>
      <c r="H45" s="4" t="s">
        <v>752</v>
      </c>
      <c r="I45" s="4" t="s">
        <v>593</v>
      </c>
      <c r="J45" s="4" t="s">
        <v>660</v>
      </c>
      <c r="K45" s="4" t="s">
        <v>661</v>
      </c>
      <c r="L45" s="4" t="s">
        <v>752</v>
      </c>
      <c r="M45" s="4" t="s">
        <v>667</v>
      </c>
      <c r="N45" s="4"/>
      <c r="O45" s="4" t="s">
        <v>66</v>
      </c>
      <c r="P45" s="4" t="s">
        <v>630</v>
      </c>
      <c r="Q45" s="4" t="n">
        <v>170000</v>
      </c>
      <c r="R45" s="4" t="s">
        <v>598</v>
      </c>
      <c r="S45" s="4" t="n">
        <v>5</v>
      </c>
      <c r="T45" s="4" t="n">
        <v>22000</v>
      </c>
      <c r="U45" s="4" t="s">
        <v>96</v>
      </c>
      <c r="V45" s="4" t="s">
        <v>618</v>
      </c>
      <c r="W45" s="4" t="n">
        <v>15</v>
      </c>
      <c r="X45" s="4" t="n">
        <v>1000</v>
      </c>
      <c r="Y45" s="4" t="s">
        <v>58</v>
      </c>
      <c r="Z45" s="4"/>
      <c r="AA45" s="4"/>
      <c r="AB45" s="4"/>
      <c r="AC45" s="4"/>
      <c r="AD45" s="4" t="s">
        <v>663</v>
      </c>
      <c r="AE45" s="4" t="s">
        <v>63</v>
      </c>
      <c r="AF45" s="4" t="n">
        <v>5</v>
      </c>
      <c r="AG45" s="4" t="s">
        <v>57</v>
      </c>
      <c r="AH45" s="4" t="s">
        <v>63</v>
      </c>
      <c r="AI45" s="4" t="n">
        <v>125000</v>
      </c>
      <c r="AJ45" s="4" t="n">
        <v>0</v>
      </c>
      <c r="AK45" s="4" t="n">
        <v>0</v>
      </c>
      <c r="AL45" s="4" t="n">
        <v>1</v>
      </c>
    </row>
    <row r="46" customFormat="false" ht="102.2" hidden="false" customHeight="false" outlineLevel="0" collapsed="false">
      <c r="A46" s="4" t="s">
        <v>753</v>
      </c>
      <c r="B46" s="46" t="n">
        <v>46289</v>
      </c>
      <c r="C46" s="4" t="s">
        <v>590</v>
      </c>
      <c r="D46" s="4" t="s">
        <v>704</v>
      </c>
      <c r="E46" s="4" t="s">
        <v>612</v>
      </c>
      <c r="F46" s="4" t="s">
        <v>644</v>
      </c>
      <c r="G46" s="4" t="s">
        <v>58</v>
      </c>
      <c r="H46" s="4"/>
      <c r="I46" s="4" t="s">
        <v>622</v>
      </c>
      <c r="J46" s="4" t="s">
        <v>615</v>
      </c>
      <c r="K46" s="4" t="s">
        <v>616</v>
      </c>
      <c r="L46" s="4" t="s">
        <v>754</v>
      </c>
      <c r="M46" s="4" t="s">
        <v>667</v>
      </c>
      <c r="N46" s="4"/>
      <c r="O46" s="4" t="s">
        <v>624</v>
      </c>
      <c r="P46" s="4" t="s">
        <v>617</v>
      </c>
      <c r="Q46" s="4" t="n">
        <v>100000</v>
      </c>
      <c r="R46" s="4" t="s">
        <v>618</v>
      </c>
      <c r="S46" s="4" t="n">
        <v>30</v>
      </c>
      <c r="T46" s="4" t="n">
        <v>2500</v>
      </c>
      <c r="U46" s="4" t="s">
        <v>117</v>
      </c>
      <c r="V46" s="4" t="s">
        <v>598</v>
      </c>
      <c r="W46" s="4" t="n">
        <v>2</v>
      </c>
      <c r="X46" s="4" t="n">
        <v>12000</v>
      </c>
      <c r="Y46" s="4" t="s">
        <v>58</v>
      </c>
      <c r="Z46" s="4"/>
      <c r="AA46" s="4"/>
      <c r="AB46" s="4"/>
      <c r="AC46" s="4"/>
      <c r="AD46" s="4" t="s">
        <v>615</v>
      </c>
      <c r="AE46" s="4" t="s">
        <v>63</v>
      </c>
      <c r="AF46" s="4" t="n">
        <v>5</v>
      </c>
      <c r="AG46" s="4" t="s">
        <v>57</v>
      </c>
      <c r="AH46" s="4" t="s">
        <v>57</v>
      </c>
      <c r="AI46" s="4" t="n">
        <v>24000</v>
      </c>
      <c r="AJ46" s="4" t="n">
        <v>0</v>
      </c>
      <c r="AK46" s="4" t="n">
        <v>0</v>
      </c>
      <c r="AL46" s="4" t="n">
        <v>0</v>
      </c>
    </row>
    <row r="47" customFormat="false" ht="102.2" hidden="false" customHeight="false" outlineLevel="0" collapsed="false">
      <c r="A47" s="4" t="s">
        <v>755</v>
      </c>
      <c r="B47" s="46" t="n">
        <v>46289</v>
      </c>
      <c r="C47" s="4" t="s">
        <v>590</v>
      </c>
      <c r="D47" s="4" t="s">
        <v>75</v>
      </c>
      <c r="E47" s="4" t="s">
        <v>113</v>
      </c>
      <c r="F47" s="4" t="s">
        <v>756</v>
      </c>
      <c r="G47" s="4" t="s">
        <v>58</v>
      </c>
      <c r="H47" s="4" t="s">
        <v>757</v>
      </c>
      <c r="I47" s="4" t="s">
        <v>679</v>
      </c>
      <c r="J47" s="4" t="s">
        <v>680</v>
      </c>
      <c r="K47" s="4" t="s">
        <v>758</v>
      </c>
      <c r="L47" s="4" t="s">
        <v>757</v>
      </c>
      <c r="M47" s="4" t="s">
        <v>667</v>
      </c>
      <c r="N47" s="4" t="s">
        <v>55</v>
      </c>
      <c r="O47" s="4" t="s">
        <v>66</v>
      </c>
      <c r="P47" s="4" t="s">
        <v>597</v>
      </c>
      <c r="Q47" s="4" t="n">
        <v>290000</v>
      </c>
      <c r="R47" s="4" t="s">
        <v>598</v>
      </c>
      <c r="S47" s="4" t="n">
        <v>4</v>
      </c>
      <c r="T47" s="4" t="n">
        <v>45000</v>
      </c>
      <c r="U47" s="4" t="s">
        <v>607</v>
      </c>
      <c r="V47" s="4" t="s">
        <v>599</v>
      </c>
      <c r="W47" s="4" t="n">
        <v>1</v>
      </c>
      <c r="X47" s="4" t="n">
        <v>15000</v>
      </c>
      <c r="Y47" s="4" t="s">
        <v>58</v>
      </c>
      <c r="Z47" s="4"/>
      <c r="AA47" s="4"/>
      <c r="AB47" s="4"/>
      <c r="AC47" s="4"/>
      <c r="AD47" s="4" t="s">
        <v>682</v>
      </c>
      <c r="AE47" s="4" t="s">
        <v>57</v>
      </c>
      <c r="AF47" s="4" t="n">
        <v>4</v>
      </c>
      <c r="AG47" s="4" t="s">
        <v>67</v>
      </c>
      <c r="AH47" s="4" t="s">
        <v>609</v>
      </c>
      <c r="AI47" s="4" t="n">
        <v>15000</v>
      </c>
      <c r="AJ47" s="4" t="n">
        <v>0</v>
      </c>
      <c r="AK47" s="4" t="n">
        <v>0</v>
      </c>
      <c r="AL47" s="4" t="n">
        <v>1</v>
      </c>
    </row>
    <row r="48" customFormat="false" ht="91" hidden="false" customHeight="false" outlineLevel="0" collapsed="false">
      <c r="A48" s="4" t="s">
        <v>759</v>
      </c>
      <c r="B48" s="46" t="n">
        <v>46289</v>
      </c>
      <c r="C48" s="4" t="s">
        <v>590</v>
      </c>
      <c r="D48" s="4" t="s">
        <v>116</v>
      </c>
      <c r="E48" s="4" t="s">
        <v>54</v>
      </c>
      <c r="F48" s="4" t="s">
        <v>620</v>
      </c>
      <c r="G48" s="4" t="s">
        <v>58</v>
      </c>
      <c r="H48" s="4" t="s">
        <v>760</v>
      </c>
      <c r="I48" s="4" t="s">
        <v>593</v>
      </c>
      <c r="J48" s="4" t="s">
        <v>594</v>
      </c>
      <c r="K48" s="4" t="s">
        <v>623</v>
      </c>
      <c r="L48" s="4" t="s">
        <v>760</v>
      </c>
      <c r="M48" s="4" t="s">
        <v>667</v>
      </c>
      <c r="N48" s="4" t="s">
        <v>55</v>
      </c>
      <c r="O48" s="4" t="s">
        <v>66</v>
      </c>
      <c r="P48" s="4" t="s">
        <v>597</v>
      </c>
      <c r="Q48" s="4" t="n">
        <v>160000</v>
      </c>
      <c r="R48" s="4" t="s">
        <v>598</v>
      </c>
      <c r="S48" s="4" t="n">
        <v>7</v>
      </c>
      <c r="T48" s="4" t="n">
        <v>15000</v>
      </c>
      <c r="U48" s="4" t="s">
        <v>58</v>
      </c>
      <c r="V48" s="4" t="s">
        <v>618</v>
      </c>
      <c r="W48" s="4" t="n">
        <v>30</v>
      </c>
      <c r="X48" s="4" t="n">
        <v>1000</v>
      </c>
      <c r="Y48" s="4" t="s">
        <v>96</v>
      </c>
      <c r="Z48" s="4"/>
      <c r="AA48" s="4"/>
      <c r="AB48" s="4"/>
      <c r="AC48" s="4"/>
      <c r="AD48" s="4" t="s">
        <v>594</v>
      </c>
      <c r="AE48" s="4" t="s">
        <v>63</v>
      </c>
      <c r="AF48" s="4" t="n">
        <v>4</v>
      </c>
      <c r="AG48" s="4" t="s">
        <v>67</v>
      </c>
      <c r="AH48" s="4" t="s">
        <v>63</v>
      </c>
      <c r="AI48" s="4" t="n">
        <v>135000</v>
      </c>
      <c r="AJ48" s="4" t="n">
        <v>0</v>
      </c>
      <c r="AK48" s="4" t="n">
        <v>0</v>
      </c>
      <c r="AL48" s="4" t="n">
        <v>1</v>
      </c>
    </row>
    <row r="49" customFormat="false" ht="79.85" hidden="false" customHeight="false" outlineLevel="0" collapsed="false">
      <c r="A49" s="4" t="s">
        <v>761</v>
      </c>
      <c r="B49" s="46" t="n">
        <v>46289</v>
      </c>
      <c r="C49" s="4" t="s">
        <v>590</v>
      </c>
      <c r="D49" s="4" t="s">
        <v>65</v>
      </c>
      <c r="E49" s="4" t="s">
        <v>633</v>
      </c>
      <c r="F49" s="4" t="s">
        <v>708</v>
      </c>
      <c r="G49" s="4" t="s">
        <v>58</v>
      </c>
      <c r="H49" s="4" t="s">
        <v>762</v>
      </c>
      <c r="I49" s="4" t="s">
        <v>674</v>
      </c>
      <c r="J49" s="4" t="s">
        <v>710</v>
      </c>
      <c r="K49" s="4" t="s">
        <v>639</v>
      </c>
      <c r="L49" s="4" t="s">
        <v>762</v>
      </c>
      <c r="M49" s="4" t="s">
        <v>667</v>
      </c>
      <c r="N49" s="4" t="s">
        <v>55</v>
      </c>
      <c r="O49" s="4" t="s">
        <v>640</v>
      </c>
      <c r="P49" s="4" t="s">
        <v>597</v>
      </c>
      <c r="Q49" s="4" t="n">
        <v>220000</v>
      </c>
      <c r="R49" s="4" t="s">
        <v>598</v>
      </c>
      <c r="S49" s="4" t="n">
        <v>3</v>
      </c>
      <c r="T49" s="4" t="n">
        <v>50000</v>
      </c>
      <c r="U49" s="4" t="s">
        <v>607</v>
      </c>
      <c r="V49" s="4" t="s">
        <v>606</v>
      </c>
      <c r="W49" s="4" t="n">
        <v>1</v>
      </c>
      <c r="X49" s="4" t="n">
        <v>18000</v>
      </c>
      <c r="Y49" s="4" t="s">
        <v>58</v>
      </c>
      <c r="Z49" s="4"/>
      <c r="AA49" s="4"/>
      <c r="AB49" s="4"/>
      <c r="AC49" s="4"/>
      <c r="AD49" s="4" t="s">
        <v>641</v>
      </c>
      <c r="AE49" s="4" t="s">
        <v>63</v>
      </c>
      <c r="AF49" s="4" t="n">
        <v>3</v>
      </c>
      <c r="AG49" s="4" t="s">
        <v>57</v>
      </c>
      <c r="AH49" s="4" t="s">
        <v>57</v>
      </c>
      <c r="AI49" s="4" t="n">
        <v>18000</v>
      </c>
      <c r="AJ49" s="4" t="n">
        <v>0</v>
      </c>
      <c r="AK49" s="4" t="n">
        <v>0</v>
      </c>
      <c r="AL49" s="4" t="n">
        <v>0</v>
      </c>
    </row>
    <row r="50" customFormat="false" ht="91" hidden="false" customHeight="false" outlineLevel="0" collapsed="false">
      <c r="A50" s="4" t="s">
        <v>763</v>
      </c>
      <c r="B50" s="46" t="n">
        <v>46289</v>
      </c>
      <c r="C50" s="4" t="s">
        <v>590</v>
      </c>
      <c r="D50" s="4" t="s">
        <v>87</v>
      </c>
      <c r="E50" s="4" t="s">
        <v>612</v>
      </c>
      <c r="F50" s="4" t="s">
        <v>613</v>
      </c>
      <c r="G50" s="4" t="s">
        <v>58</v>
      </c>
      <c r="H50" s="4"/>
      <c r="I50" s="4" t="s">
        <v>593</v>
      </c>
      <c r="J50" s="4" t="s">
        <v>615</v>
      </c>
      <c r="K50" s="4" t="s">
        <v>616</v>
      </c>
      <c r="L50" s="4" t="s">
        <v>764</v>
      </c>
      <c r="M50" s="4" t="s">
        <v>667</v>
      </c>
      <c r="N50" s="4"/>
      <c r="O50" s="4" t="s">
        <v>66</v>
      </c>
      <c r="P50" s="4" t="s">
        <v>648</v>
      </c>
      <c r="Q50" s="4" t="n">
        <v>160000</v>
      </c>
      <c r="R50" s="4" t="s">
        <v>618</v>
      </c>
      <c r="S50" s="4" t="n">
        <v>30</v>
      </c>
      <c r="T50" s="4" t="n">
        <v>4000</v>
      </c>
      <c r="U50" s="4" t="s">
        <v>117</v>
      </c>
      <c r="V50" s="4" t="s">
        <v>618</v>
      </c>
      <c r="W50" s="4" t="n">
        <v>30</v>
      </c>
      <c r="X50" s="4" t="n">
        <v>1000</v>
      </c>
      <c r="Y50" s="4" t="s">
        <v>58</v>
      </c>
      <c r="Z50" s="4"/>
      <c r="AA50" s="4"/>
      <c r="AB50" s="4"/>
      <c r="AC50" s="4"/>
      <c r="AD50" s="4" t="s">
        <v>615</v>
      </c>
      <c r="AE50" s="4" t="s">
        <v>63</v>
      </c>
      <c r="AF50" s="4" t="n">
        <v>5</v>
      </c>
      <c r="AG50" s="4" t="s">
        <v>57</v>
      </c>
      <c r="AH50" s="4" t="s">
        <v>57</v>
      </c>
      <c r="AI50" s="4" t="n">
        <v>30000</v>
      </c>
      <c r="AJ50" s="4" t="n">
        <v>0</v>
      </c>
      <c r="AK50" s="4" t="n">
        <v>0</v>
      </c>
      <c r="AL50" s="4" t="n">
        <v>1</v>
      </c>
    </row>
    <row r="51" customFormat="false" ht="91" hidden="false" customHeight="false" outlineLevel="0" collapsed="false">
      <c r="A51" s="4" t="s">
        <v>765</v>
      </c>
      <c r="B51" s="46" t="n">
        <v>46289</v>
      </c>
      <c r="C51" s="4" t="s">
        <v>590</v>
      </c>
      <c r="D51" s="4" t="s">
        <v>53</v>
      </c>
      <c r="E51" s="4" t="s">
        <v>650</v>
      </c>
      <c r="F51" s="4" t="s">
        <v>766</v>
      </c>
      <c r="G51" s="4" t="s">
        <v>96</v>
      </c>
      <c r="H51" s="4"/>
      <c r="I51" s="4" t="s">
        <v>593</v>
      </c>
      <c r="J51" s="4" t="s">
        <v>594</v>
      </c>
      <c r="K51" s="4" t="s">
        <v>595</v>
      </c>
      <c r="L51" s="4" t="s">
        <v>767</v>
      </c>
      <c r="M51" s="4" t="s">
        <v>667</v>
      </c>
      <c r="N51" s="4" t="s">
        <v>55</v>
      </c>
      <c r="O51" s="4" t="s">
        <v>66</v>
      </c>
      <c r="P51" s="4" t="s">
        <v>597</v>
      </c>
      <c r="Q51" s="4" t="n">
        <v>75000</v>
      </c>
      <c r="R51" s="4" t="s">
        <v>598</v>
      </c>
      <c r="S51" s="4" t="n">
        <v>2</v>
      </c>
      <c r="T51" s="4" t="n">
        <v>25000</v>
      </c>
      <c r="U51" s="4" t="s">
        <v>96</v>
      </c>
      <c r="V51" s="4" t="s">
        <v>606</v>
      </c>
      <c r="W51" s="4" t="n">
        <v>1</v>
      </c>
      <c r="X51" s="4" t="n">
        <v>12000</v>
      </c>
      <c r="Y51" s="4" t="s">
        <v>117</v>
      </c>
      <c r="Z51" s="4"/>
      <c r="AA51" s="4"/>
      <c r="AB51" s="4"/>
      <c r="AC51" s="4"/>
      <c r="AD51" s="4" t="s">
        <v>594</v>
      </c>
      <c r="AE51" s="4" t="s">
        <v>63</v>
      </c>
      <c r="AF51" s="4" t="n">
        <v>5</v>
      </c>
      <c r="AG51" s="4" t="s">
        <v>57</v>
      </c>
      <c r="AH51" s="4" t="s">
        <v>63</v>
      </c>
      <c r="AI51" s="4" t="n">
        <v>50000</v>
      </c>
      <c r="AJ51" s="4" t="n">
        <v>0</v>
      </c>
      <c r="AK51" s="4" t="n">
        <v>0</v>
      </c>
      <c r="AL51" s="4" t="n">
        <v>1</v>
      </c>
    </row>
    <row r="52" customFormat="false" ht="91" hidden="false" customHeight="false" outlineLevel="0" collapsed="false">
      <c r="A52" s="4" t="s">
        <v>768</v>
      </c>
      <c r="B52" s="46" t="n">
        <v>46289</v>
      </c>
      <c r="C52" s="4" t="s">
        <v>590</v>
      </c>
      <c r="D52" s="4" t="s">
        <v>669</v>
      </c>
      <c r="E52" s="4" t="s">
        <v>103</v>
      </c>
      <c r="F52" s="4" t="s">
        <v>691</v>
      </c>
      <c r="G52" s="4" t="s">
        <v>58</v>
      </c>
      <c r="H52" s="4" t="s">
        <v>769</v>
      </c>
      <c r="I52" s="4" t="s">
        <v>666</v>
      </c>
      <c r="J52" s="4" t="s">
        <v>604</v>
      </c>
      <c r="K52" s="4" t="s">
        <v>656</v>
      </c>
      <c r="L52" s="4" t="s">
        <v>769</v>
      </c>
      <c r="M52" s="4" t="s">
        <v>667</v>
      </c>
      <c r="N52" s="4"/>
      <c r="O52" s="4" t="s">
        <v>56</v>
      </c>
      <c r="P52" s="4" t="s">
        <v>617</v>
      </c>
      <c r="Q52" s="4" t="n">
        <v>95000</v>
      </c>
      <c r="R52" s="4" t="s">
        <v>598</v>
      </c>
      <c r="S52" s="4" t="n">
        <v>30</v>
      </c>
      <c r="T52" s="4" t="n">
        <v>2500</v>
      </c>
      <c r="U52" s="4" t="s">
        <v>117</v>
      </c>
      <c r="V52" s="4" t="s">
        <v>606</v>
      </c>
      <c r="W52" s="4" t="n">
        <v>1</v>
      </c>
      <c r="X52" s="4" t="n">
        <v>8000</v>
      </c>
      <c r="Y52" s="4" t="s">
        <v>58</v>
      </c>
      <c r="Z52" s="4"/>
      <c r="AA52" s="4"/>
      <c r="AB52" s="4"/>
      <c r="AC52" s="4"/>
      <c r="AD52" s="4" t="s">
        <v>608</v>
      </c>
      <c r="AE52" s="4" t="s">
        <v>63</v>
      </c>
      <c r="AF52" s="4" t="n">
        <v>3</v>
      </c>
      <c r="AG52" s="4" t="s">
        <v>63</v>
      </c>
      <c r="AH52" s="4" t="s">
        <v>57</v>
      </c>
      <c r="AI52" s="4" t="n">
        <v>8000</v>
      </c>
      <c r="AJ52" s="4" t="n">
        <v>0</v>
      </c>
      <c r="AK52" s="4" t="n">
        <v>0</v>
      </c>
      <c r="AL52" s="4" t="n">
        <v>1</v>
      </c>
    </row>
    <row r="53" customFormat="false" ht="91" hidden="false" customHeight="false" outlineLevel="0" collapsed="false">
      <c r="A53" s="4" t="s">
        <v>770</v>
      </c>
      <c r="B53" s="46" t="n">
        <v>46289</v>
      </c>
      <c r="C53" s="4" t="s">
        <v>590</v>
      </c>
      <c r="D53" s="4" t="s">
        <v>696</v>
      </c>
      <c r="E53" s="4" t="s">
        <v>54</v>
      </c>
      <c r="F53" s="4" t="s">
        <v>620</v>
      </c>
      <c r="G53" s="4" t="s">
        <v>58</v>
      </c>
      <c r="H53" s="4" t="s">
        <v>771</v>
      </c>
      <c r="I53" s="4" t="s">
        <v>593</v>
      </c>
      <c r="J53" s="4" t="s">
        <v>594</v>
      </c>
      <c r="K53" s="4" t="s">
        <v>595</v>
      </c>
      <c r="L53" s="4" t="s">
        <v>771</v>
      </c>
      <c r="M53" s="4" t="s">
        <v>667</v>
      </c>
      <c r="N53" s="4" t="s">
        <v>55</v>
      </c>
      <c r="O53" s="4" t="s">
        <v>66</v>
      </c>
      <c r="P53" s="4" t="s">
        <v>597</v>
      </c>
      <c r="Q53" s="4" t="n">
        <v>200000</v>
      </c>
      <c r="R53" s="4" t="s">
        <v>598</v>
      </c>
      <c r="S53" s="4" t="n">
        <v>6</v>
      </c>
      <c r="T53" s="4" t="n">
        <v>22000</v>
      </c>
      <c r="U53" s="4" t="s">
        <v>58</v>
      </c>
      <c r="V53" s="4" t="s">
        <v>618</v>
      </c>
      <c r="W53" s="4" t="n">
        <v>30</v>
      </c>
      <c r="X53" s="4" t="n">
        <v>1200</v>
      </c>
      <c r="Y53" s="4" t="s">
        <v>96</v>
      </c>
      <c r="Z53" s="4"/>
      <c r="AA53" s="4"/>
      <c r="AB53" s="4"/>
      <c r="AC53" s="4"/>
      <c r="AD53" s="4" t="s">
        <v>594</v>
      </c>
      <c r="AE53" s="4" t="s">
        <v>63</v>
      </c>
      <c r="AF53" s="4" t="n">
        <v>5</v>
      </c>
      <c r="AG53" s="4" t="s">
        <v>57</v>
      </c>
      <c r="AH53" s="4" t="s">
        <v>609</v>
      </c>
      <c r="AI53" s="4" t="n">
        <v>168000</v>
      </c>
      <c r="AJ53" s="4" t="n">
        <v>0</v>
      </c>
      <c r="AK53" s="4" t="n">
        <v>0</v>
      </c>
      <c r="AL53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772</v>
      </c>
    </row>
    <row r="3" customFormat="false" ht="30" hidden="false" customHeight="true" outlineLevel="0" collapsed="false">
      <c r="A3" s="5" t="s">
        <v>773</v>
      </c>
      <c r="B3" s="5" t="s">
        <v>774</v>
      </c>
    </row>
    <row r="4" customFormat="false" ht="23.85" hidden="false" customHeight="false" outlineLevel="0" collapsed="false">
      <c r="A4" s="4" t="s">
        <v>775</v>
      </c>
      <c r="B4" s="4" t="s">
        <v>776</v>
      </c>
    </row>
    <row r="5" customFormat="false" ht="15" hidden="false" customHeight="false" outlineLevel="0" collapsed="false">
      <c r="A5" s="4" t="s">
        <v>777</v>
      </c>
      <c r="B5" s="4" t="s">
        <v>778</v>
      </c>
    </row>
    <row r="6" customFormat="false" ht="15" hidden="false" customHeight="false" outlineLevel="0" collapsed="false">
      <c r="A6" s="4" t="s">
        <v>779</v>
      </c>
      <c r="B6" s="4" t="s">
        <v>780</v>
      </c>
    </row>
    <row r="7" customFormat="false" ht="23.85" hidden="false" customHeight="false" outlineLevel="0" collapsed="false">
      <c r="A7" s="4" t="s">
        <v>781</v>
      </c>
      <c r="B7" s="4" t="s">
        <v>782</v>
      </c>
    </row>
    <row r="8" customFormat="false" ht="15" hidden="false" customHeight="false" outlineLevel="0" collapsed="false">
      <c r="A8" s="4" t="s">
        <v>783</v>
      </c>
      <c r="B8" s="4" t="s">
        <v>784</v>
      </c>
    </row>
    <row r="9" customFormat="false" ht="15" hidden="false" customHeight="false" outlineLevel="0" collapsed="false">
      <c r="A9" s="4" t="s">
        <v>785</v>
      </c>
      <c r="B9" s="4" t="s">
        <v>786</v>
      </c>
    </row>
    <row r="10" customFormat="false" ht="15" hidden="false" customHeight="false" outlineLevel="0" collapsed="false">
      <c r="A10" s="4" t="s">
        <v>787</v>
      </c>
      <c r="B10" s="4" t="s">
        <v>788</v>
      </c>
    </row>
    <row r="11" customFormat="false" ht="23.85" hidden="false" customHeight="false" outlineLevel="0" collapsed="false">
      <c r="A11" s="4" t="s">
        <v>789</v>
      </c>
      <c r="B11" s="4" t="s">
        <v>790</v>
      </c>
    </row>
    <row r="12" customFormat="false" ht="15" hidden="false" customHeight="false" outlineLevel="0" collapsed="false">
      <c r="A12" s="4" t="s">
        <v>791</v>
      </c>
      <c r="B12" s="4" t="s">
        <v>792</v>
      </c>
    </row>
    <row r="13" customFormat="false" ht="15" hidden="false" customHeight="false" outlineLevel="0" collapsed="false">
      <c r="A13" s="4" t="s">
        <v>793</v>
      </c>
      <c r="B13" s="4" t="s">
        <v>794</v>
      </c>
    </row>
    <row r="14" customFormat="false" ht="15" hidden="false" customHeight="false" outlineLevel="0" collapsed="false">
      <c r="A14" s="4" t="s">
        <v>795</v>
      </c>
      <c r="B14" s="4" t="s">
        <v>796</v>
      </c>
    </row>
    <row r="15" customFormat="false" ht="15" hidden="false" customHeight="false" outlineLevel="0" collapsed="false">
      <c r="A15" s="4" t="s">
        <v>797</v>
      </c>
      <c r="B15" s="4" t="s">
        <v>798</v>
      </c>
    </row>
    <row r="16" customFormat="false" ht="23.85" hidden="false" customHeight="false" outlineLevel="0" collapsed="false">
      <c r="A16" s="4" t="s">
        <v>799</v>
      </c>
      <c r="B16" s="4" t="s">
        <v>800</v>
      </c>
    </row>
    <row r="17" customFormat="false" ht="23.85" hidden="false" customHeight="false" outlineLevel="0" collapsed="false">
      <c r="A17" s="4" t="s">
        <v>801</v>
      </c>
      <c r="B17" s="4" t="s">
        <v>802</v>
      </c>
    </row>
    <row r="18" customFormat="false" ht="23.85" hidden="false" customHeight="false" outlineLevel="0" collapsed="false">
      <c r="A18" s="4" t="s">
        <v>803</v>
      </c>
      <c r="B18" s="4" t="s">
        <v>804</v>
      </c>
    </row>
    <row r="19" customFormat="false" ht="23.85" hidden="false" customHeight="false" outlineLevel="0" collapsed="false">
      <c r="A19" s="4" t="s">
        <v>805</v>
      </c>
      <c r="B19" s="4" t="s">
        <v>806</v>
      </c>
    </row>
    <row r="20" customFormat="false" ht="15" hidden="false" customHeight="false" outlineLevel="0" collapsed="false">
      <c r="A20" s="4" t="s">
        <v>807</v>
      </c>
      <c r="B20" s="4" t="s">
        <v>808</v>
      </c>
    </row>
    <row r="21" customFormat="false" ht="23.85" hidden="false" customHeight="false" outlineLevel="0" collapsed="false">
      <c r="A21" s="4" t="s">
        <v>809</v>
      </c>
      <c r="B21" s="4" t="s">
        <v>810</v>
      </c>
    </row>
    <row r="22" customFormat="false" ht="15" hidden="false" customHeight="false" outlineLevel="0" collapsed="false">
      <c r="A22" s="4" t="s">
        <v>811</v>
      </c>
      <c r="B22" s="4" t="s">
        <v>812</v>
      </c>
    </row>
    <row r="23" customFormat="false" ht="15" hidden="false" customHeight="false" outlineLevel="0" collapsed="false">
      <c r="A23" s="4" t="s">
        <v>813</v>
      </c>
      <c r="B23" s="4" t="s">
        <v>814</v>
      </c>
    </row>
    <row r="24" customFormat="false" ht="15" hidden="false" customHeight="false" outlineLevel="0" collapsed="false">
      <c r="A24" s="4" t="s">
        <v>815</v>
      </c>
      <c r="B24" s="4" t="s">
        <v>816</v>
      </c>
    </row>
    <row r="25" customFormat="false" ht="15" hidden="false" customHeight="false" outlineLevel="0" collapsed="false">
      <c r="A25" s="4" t="s">
        <v>817</v>
      </c>
      <c r="B25" s="4" t="s">
        <v>818</v>
      </c>
    </row>
    <row r="26" customFormat="false" ht="15" hidden="false" customHeight="false" outlineLevel="0" collapsed="false">
      <c r="A26" s="4" t="s">
        <v>819</v>
      </c>
      <c r="B26" s="4" t="s">
        <v>820</v>
      </c>
    </row>
    <row r="27" customFormat="false" ht="15" hidden="false" customHeight="false" outlineLevel="0" collapsed="false">
      <c r="A27" s="4" t="s">
        <v>821</v>
      </c>
      <c r="B27" s="4" t="s">
        <v>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2026-10-08T08:57:35Z</dcterms:created>
  <dc:creator>openpyxl</dc:creator>
  <dc:description/>
  <dc:language>en-US</dc:language>
  <cp:lastModifiedBy/>
  <dcterms:modified xsi:type="dcterms:W3CDTF">2026-10-08T08:57:36Z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