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VOC Collection" sheetId="2" state="visible" r:id="rId4"/>
    <sheet name="VOC Dashboard" sheetId="3" state="visible" r:id="rId5"/>
    <sheet name="Opportunity Sizing" sheetId="4" state="visible" r:id="rId6"/>
    <sheet name="Field Guide" sheetId="5" state="visible" r:id="rId7"/>
    <sheet name="Sources" sheetId="6" state="visible" r:id="rId8"/>
    <sheet name="Lists" sheetId="7" state="hidden" r:id="rId9"/>
  </sheets>
  <definedNames>
    <definedName function="false" hidden="true" localSheetId="1" name="_xlnm._FilterDatabase" vbProcedure="false">'VOC Collection'!$A$4:$AL$54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F4" authorId="0">
      <text>
        <r>
          <rPr>
            <sz val="10"/>
            <rFont val="Arial"/>
            <family val="2"/>
          </rPr>
          <t xml:space="preserve">Track B: list the apps used for BUSINESS payments (suppliers, rent, staff).</t>
        </r>
      </text>
    </comment>
    <comment ref="G4" authorId="0">
      <text>
        <r>
          <rPr>
            <sz val="10"/>
            <rFont val="Arial"/>
            <family val="2"/>
          </rPr>
          <t xml:space="preserve">The app used for the largest share of the shop's outgoing business payments.</t>
        </r>
      </text>
    </comment>
    <comment ref="J4" authorId="0">
      <text>
        <r>
          <rPr>
            <sz val="10"/>
            <rFont val="Arial"/>
            <family val="2"/>
          </rPr>
          <t xml:space="preserve">Write the barrier in your own words here; also pick the coded version in column AD so it can be counted.</t>
        </r>
      </text>
    </comment>
  </commentList>
</comments>
</file>

<file path=xl/sharedStrings.xml><?xml version="1.0" encoding="utf-8"?>
<sst xmlns="http://schemas.openxmlformats.org/spreadsheetml/2006/main" count="1495" uniqueCount="467">
  <si>
    <t xml:space="preserve">Paytm Innovation Challenge 2026  –  Round 1 VOC workbook</t>
  </si>
  <si>
    <t xml:space="preserve">Kartik Raj  |  IIT Kanpur  |  Individual entry  |  Track B: Grow Paytm usage among merchants as UPI payers</t>
  </si>
  <si>
    <t xml:space="preserve">What this workbook contains</t>
  </si>
  <si>
    <t xml:space="preserve">1. VOC Collection – the official template (columns A–L unchanged) plus Track B columns M–AH. One row per respondent, VOC-001 to VOC-050.</t>
  </si>
  <si>
    <t xml:space="preserve">2. VOC Dashboard – live counts and ₹ figures calculated from the VOC rows: sample quality, the 'leak', GMV by app and use case, barriers, concept test.</t>
  </si>
  <si>
    <t xml:space="preserve">3. Opportunity Sizing – the funnel, Year 1–3 impact on MTU, GMV, frequency and revenue, and the 90-day Kanpur pilot. Inputs are blue with sources.</t>
  </si>
  <si>
    <t xml:space="preserve">4. Field Guide – the 5-minute and 15-minute interview scripts, sampling plan and one example row.</t>
  </si>
  <si>
    <t xml:space="preserve">5. Sources – every external number used.</t>
  </si>
  <si>
    <t xml:space="preserve">Colour legend</t>
  </si>
  <si>
    <t xml:space="preserve">Light-yellow cells = interview inputs.   Grey 'CALC' columns = formulas.   Blue numbers (Opportunity Sizing) = assumptions, each with its source.</t>
  </si>
  <si>
    <t xml:space="preserve">Who was interviewed (Track B)</t>
  </si>
  <si>
    <t xml:space="preserve">Respondents are shop owners or the person who decides how suppliers are paid, not cashiers. Questions anchored on the last few real supplier payments (app, amount, frequency), not on what they 'would' do.</t>
  </si>
  <si>
    <t xml:space="preserve">Paytm UPI VOC collection  |  Kartik Raj (Individual)  |  Track B: Merchants as UPI payers</t>
  </si>
  <si>
    <t xml:space="preserve">Columns A–L follow the template; columns M–AH add Track B detail. Grey CALC columns are formulas. All respondents are anonymised: area and shop type only, no names or numbers.</t>
  </si>
  <si>
    <t xml:space="preserve">VOC ID</t>
  </si>
  <si>
    <t xml:space="preserve">Date</t>
  </si>
  <si>
    <t xml:space="preserve">Respondent type</t>
  </si>
  <si>
    <t xml:space="preserve">City / area</t>
  </si>
  <si>
    <t xml:space="preserve">Profile / category</t>
  </si>
  <si>
    <t xml:space="preserve">UPI apps used 
(you can mention multiple apps if used for different purposes/occasions)</t>
  </si>
  <si>
    <t xml:space="preserve">Primary UPI app used</t>
  </si>
  <si>
    <t xml:space="preserve">Why was it chosen? (exact words)</t>
  </si>
  <si>
    <t xml:space="preserve">When or why is Paytm used? Or not used if switched from Paytm?</t>
  </si>
  <si>
    <t xml:space="preserve">Need, barrier or motivation to switch (derived from the conversation, not a direct question - maybe a feature, campaign, perception etc.)</t>
  </si>
  <si>
    <t xml:space="preserve">Opportunity / idea</t>
  </si>
  <si>
    <t xml:space="preserve">Key quote</t>
  </si>
  <si>
    <t xml:space="preserve">Interview type</t>
  </si>
  <si>
    <t xml:space="preserve">Who decides supplier payments?</t>
  </si>
  <si>
    <t xml:space="preserve">Customers pay this shop mostly via</t>
  </si>
  <si>
    <t xml:space="preserve">Supplier payments made from</t>
  </si>
  <si>
    <t xml:space="preserve">Est. monthly stock purchase (₹)</t>
  </si>
  <si>
    <t xml:space="preserve">Use case 1</t>
  </si>
  <si>
    <t xml:space="preserve">UC1 payments / month</t>
  </si>
  <si>
    <t xml:space="preserve">UC1 typical amount (₹)</t>
  </si>
  <si>
    <t xml:space="preserve">UC1 paid with</t>
  </si>
  <si>
    <t xml:space="preserve">Use case 2</t>
  </si>
  <si>
    <t xml:space="preserve">UC2 payments / month</t>
  </si>
  <si>
    <t xml:space="preserve">UC2 typical amount (₹)</t>
  </si>
  <si>
    <t xml:space="preserve">UC2 paid with</t>
  </si>
  <si>
    <t xml:space="preserve">Use case 3</t>
  </si>
  <si>
    <t xml:space="preserve">UC3 payments / month</t>
  </si>
  <si>
    <t xml:space="preserve">UC3 typical amount (₹)</t>
  </si>
  <si>
    <t xml:space="preserve">UC3 paid with</t>
  </si>
  <si>
    <t xml:space="preserve">Main barrier to paying suppliers on Paytm (coded)</t>
  </si>
  <si>
    <t xml:space="preserve">Knew Paytm can pay suppliers?</t>
  </si>
  <si>
    <t xml:space="preserve">Reaction: 'supplier bills show up inside Paytm, pay in 1 tap' (1–5)</t>
  </si>
  <si>
    <t xml:space="preserve">Would use 7-day pay-later for stock?</t>
  </si>
  <si>
    <t xml:space="preserve">Any supplier asked for cash / bank transfer instead of QR recently?</t>
  </si>
  <si>
    <t xml:space="preserve">CALC: Business UPI paid / month (₹)</t>
  </si>
  <si>
    <t xml:space="preserve">CALC: Paid via Paytm / month (₹)</t>
  </si>
  <si>
    <t xml:space="preserve">CALC: Paytm share of business UPI</t>
  </si>
  <si>
    <t xml:space="preserve">CALC: 'Leak' flag (receives on Paytm, pays suppliers mostly elsewhere)</t>
  </si>
  <si>
    <t xml:space="preserve">VOC-001</t>
  </si>
  <si>
    <t xml:space="preserve">Merchant</t>
  </si>
  <si>
    <t xml:space="preserve">IITK Shopping Complex</t>
  </si>
  <si>
    <t xml:space="preserve">Kirana / grocery</t>
  </si>
  <si>
    <t xml:space="preserve">PhonePe for stock bills; Cash for staff salary</t>
  </si>
  <si>
    <t xml:space="preserve">PhonePe</t>
  </si>
  <si>
    <t xml:space="preserve">Paytm sirf aane ke liye hai, dena ho toh PhonePe khulta hai naturally.</t>
  </si>
  <si>
    <t xml:space="preserve">Customers pay on Paytm Soundbox; receiving only, no supplier payment goes through Paytm. Did not know Paytm can pay suppliers.</t>
  </si>
  <si>
    <t xml:space="preserve">Habit: other app is default</t>
  </si>
  <si>
    <t xml:space="preserve">Put the supplier bill inside Paytm + Soundbox reminder so Paytm becomes the default place to pay; keen on pay-later</t>
  </si>
  <si>
    <t xml:space="preserve">In-depth (15+ min)</t>
  </si>
  <si>
    <t xml:space="preserve">Owner</t>
  </si>
  <si>
    <t xml:space="preserve">Paytm Soundbox</t>
  </si>
  <si>
    <t xml:space="preserve">Owner's personal phone</t>
  </si>
  <si>
    <t xml:space="preserve">Distributor / wholesaler (stock)</t>
  </si>
  <si>
    <t xml:space="preserve">Staff salary</t>
  </si>
  <si>
    <t xml:space="preserve">Cash</t>
  </si>
  <si>
    <t xml:space="preserve">No</t>
  </si>
  <si>
    <t xml:space="preserve">Yes</t>
  </si>
  <si>
    <t xml:space="preserve">VOC-002</t>
  </si>
  <si>
    <t xml:space="preserve">Pharmacy / chemist</t>
  </si>
  <si>
    <t xml:space="preserve">Google Pay for stock bills; Bank transfer (NEFT/RTGS) for rent</t>
  </si>
  <si>
    <t xml:space="preserve">Google Pay</t>
  </si>
  <si>
    <t xml:space="preserve">Medical distributor apna GPay ka QR bhejta hai WhatsApp pe, wahi aasan hai.</t>
  </si>
  <si>
    <t xml:space="preserve">Customers pay on Paytm QR only; receiving only, no supplier payment goes through Paytm. Knew Paytm can pay suppliers but still uses other apps.</t>
  </si>
  <si>
    <t xml:space="preserve">Salesman shows his own QR</t>
  </si>
  <si>
    <t xml:space="preserve">Distributor-led onboarding: supplier's bill/QR lands in Chukta, salesman asks shop to pay there; keen on pay-later</t>
  </si>
  <si>
    <t xml:space="preserve">Paytm QR only</t>
  </si>
  <si>
    <t xml:space="preserve">Shop rent</t>
  </si>
  <si>
    <t xml:space="preserve">Bank transfer (NEFT/RTGS)</t>
  </si>
  <si>
    <t xml:space="preserve">Supplier shared another app's QR / asked</t>
  </si>
  <si>
    <t xml:space="preserve">Not yet</t>
  </si>
  <si>
    <t xml:space="preserve">VOC-003</t>
  </si>
  <si>
    <t xml:space="preserve">Hall 1 Canteen</t>
  </si>
  <si>
    <t xml:space="preserve">Restaurant / dhaba / canteen</t>
  </si>
  <si>
    <t xml:space="preserve">Cash for daily perishables; PhonePe for daily perishables</t>
  </si>
  <si>
    <t xml:space="preserve">Sabji wala cash mangta hai aur baki ke liye PhonePe use karte hain.</t>
  </si>
  <si>
    <t xml:space="preserve">Short on cash when stock arrives</t>
  </si>
  <si>
    <t xml:space="preserve">7-day pay-later at stock time; supplier still paid instantly</t>
  </si>
  <si>
    <t xml:space="preserve">Mostly cash / cheque</t>
  </si>
  <si>
    <t xml:space="preserve">Daily perishables (milk, bread, veg)</t>
  </si>
  <si>
    <t xml:space="preserve">VOC-004</t>
  </si>
  <si>
    <t xml:space="preserve">Nankari</t>
  </si>
  <si>
    <t xml:space="preserve">Dairy / bakery / sweets</t>
  </si>
  <si>
    <t xml:space="preserve">PhonePe for stock bills; Google Pay for daily perishables</t>
  </si>
  <si>
    <t xml:space="preserve">Dono kaam PhonePe se ho jate hain toh Paytm kyu rakhu.</t>
  </si>
  <si>
    <t xml:space="preserve">Customers pay on PhonePe Smartspeaker / QR; Paytm not used for receiving or paying suppliers. Did not know Paytm can pay suppliers.</t>
  </si>
  <si>
    <t xml:space="preserve">Put the supplier bill inside Paytm + Soundbox reminder so Paytm becomes the default place to pay</t>
  </si>
  <si>
    <t xml:space="preserve">PhonePe Smartspeaker / QR</t>
  </si>
  <si>
    <t xml:space="preserve">Maybe</t>
  </si>
  <si>
    <t xml:space="preserve">VOC-005</t>
  </si>
  <si>
    <t xml:space="preserve">Kalyanpur</t>
  </si>
  <si>
    <t xml:space="preserve">General / FMCG store</t>
  </si>
  <si>
    <t xml:space="preserve">Google Pay for stock bills; PhonePe for rent</t>
  </si>
  <si>
    <t xml:space="preserve">Paytm me feature hai kya supplier ko dene ka? Pata nahi tha.</t>
  </si>
  <si>
    <t xml:space="preserve">Unaware of feature</t>
  </si>
  <si>
    <t xml:space="preserve">Awareness at the counter: Soundbox / app prompt that Paytm can pay suppliers; keen on pay-later</t>
  </si>
  <si>
    <t xml:space="preserve">Shop phone</t>
  </si>
  <si>
    <t xml:space="preserve">Didn't know Paytm can pay suppliers</t>
  </si>
  <si>
    <t xml:space="preserve">VOC-006</t>
  </si>
  <si>
    <t xml:space="preserve">MT Section</t>
  </si>
  <si>
    <t xml:space="preserve">Mobile / electronics</t>
  </si>
  <si>
    <t xml:space="preserve">Bank transfer (NEFT/RTGS) for stock bills; Cash for staff salary</t>
  </si>
  <si>
    <t xml:space="preserve">None (NEFT / cash only)</t>
  </si>
  <si>
    <t xml:space="preserve">Distributor direct account me transfer mangta hai NEFT se bade amount ke liye.</t>
  </si>
  <si>
    <t xml:space="preserve">Customers pay on Google Pay QR; Paytm not used for receiving or paying suppliers. Knew Paytm can pay suppliers but still uses other apps.</t>
  </si>
  <si>
    <t xml:space="preserve">High ticket sizes prefer NEFT</t>
  </si>
  <si>
    <t xml:space="preserve">Pay supplier's bank account over UPI (bills are under ₹1 L) with invoice attached; keen on pay-later</t>
  </si>
  <si>
    <t xml:space="preserve">Google Pay QR</t>
  </si>
  <si>
    <t xml:space="preserve">Big bills go by NEFT / RTGS</t>
  </si>
  <si>
    <t xml:space="preserve">VOC-007</t>
  </si>
  <si>
    <t xml:space="preserve">Hall 5 Canteen</t>
  </si>
  <si>
    <t xml:space="preserve">Cash for daily perishables; PhonePe for stock bills</t>
  </si>
  <si>
    <t xml:space="preserve">Staff manages cash drawer</t>
  </si>
  <si>
    <t xml:space="preserve">Give staff a controlled way to pay suppliers from the shop's Paytm, with a nightly summary for the owner</t>
  </si>
  <si>
    <t xml:space="preserve">Raat ko hisaab karna padta hai, ladka cash ginta hai.</t>
  </si>
  <si>
    <t xml:space="preserve">Staff pays</t>
  </si>
  <si>
    <t xml:space="preserve">Other</t>
  </si>
  <si>
    <t xml:space="preserve">VOC-008</t>
  </si>
  <si>
    <t xml:space="preserve">Kakadeo</t>
  </si>
  <si>
    <t xml:space="preserve">Stationery / books</t>
  </si>
  <si>
    <t xml:space="preserve">Aadat ban gayi hai GPay ki pichle teen saal se.</t>
  </si>
  <si>
    <t xml:space="preserve">VOC-009</t>
  </si>
  <si>
    <t xml:space="preserve">Hardware / paint / sanitary</t>
  </si>
  <si>
    <t xml:space="preserve">Bank transfer (NEFT/RTGS) for stock bills; PhonePe for stock bills</t>
  </si>
  <si>
    <t xml:space="preserve">GST bill hota hai toh bank se karte hain, baki salesman aake QR deta hai.</t>
  </si>
  <si>
    <t xml:space="preserve">Customers pay on Bank / other QR; Paytm not used for receiving or paying suppliers. Knew Paytm can pay suppliers but still uses other apps.</t>
  </si>
  <si>
    <t xml:space="preserve">Distributor-led onboarding: supplier's bill/QR lands in Chukta, salesman asks shop to pay there</t>
  </si>
  <si>
    <t xml:space="preserve">Bank / other QR</t>
  </si>
  <si>
    <t xml:space="preserve">VOC-010</t>
  </si>
  <si>
    <t xml:space="preserve">Clothing / footwear</t>
  </si>
  <si>
    <t xml:space="preserve">App segregation</t>
  </si>
  <si>
    <t xml:space="preserve">Make paying as easy as receiving inside Paytm for Business, on the same phone; keen on pay-later</t>
  </si>
  <si>
    <t xml:space="preserve">Dukaan ke phone me bas Soundbox hai, payment mere private phone se hoti hai.</t>
  </si>
  <si>
    <t xml:space="preserve">Pays from personal phone (Paytm Business is only for receiving)</t>
  </si>
  <si>
    <t xml:space="preserve">VOC-011</t>
  </si>
  <si>
    <t xml:space="preserve">PhonePe hi chalta hai, salesman wahi QR deta hai.</t>
  </si>
  <si>
    <t xml:space="preserve">Customers pay on Paytm QR only; receiving only, no supplier payment goes through Paytm. Did not know Paytm can pay suppliers.</t>
  </si>
  <si>
    <t xml:space="preserve">Short (5 min)</t>
  </si>
  <si>
    <t xml:space="preserve">VOC-012</t>
  </si>
  <si>
    <t xml:space="preserve">Hall 2 Canteen</t>
  </si>
  <si>
    <t xml:space="preserve">Cash nikalna padta hai ATM se sabji wale ke liye.</t>
  </si>
  <si>
    <t xml:space="preserve">VOC-013</t>
  </si>
  <si>
    <t xml:space="preserve">Google Pay for stock bills; Cash for staff salary</t>
  </si>
  <si>
    <t xml:space="preserve">Scan karke pay karne me GPay aage hai.</t>
  </si>
  <si>
    <t xml:space="preserve">Customers pay on Google Pay QR; Paytm not used for receiving or paying suppliers. Did not know Paytm can pay suppliers.</t>
  </si>
  <si>
    <t xml:space="preserve">VOC-014</t>
  </si>
  <si>
    <t xml:space="preserve">Gurdev Palace</t>
  </si>
  <si>
    <t xml:space="preserve">PhonePe for stock bills; Bank transfer (NEFT/RTGS) for rent</t>
  </si>
  <si>
    <t xml:space="preserve">Hisaab alag alag jagah faila hua hai, PhonePe par history aasan hai.</t>
  </si>
  <si>
    <t xml:space="preserve">Customers pay on Paytm Soundbox; receiving only, no supplier payment goes through Paytm. Knew Paytm can pay suppliers but still uses other apps.</t>
  </si>
  <si>
    <t xml:space="preserve">Ledger reconciliation</t>
  </si>
  <si>
    <t xml:space="preserve">Invoice-tagged payments + auto purchase register; keen on pay-later</t>
  </si>
  <si>
    <t xml:space="preserve">Hard to track which bill is paid</t>
  </si>
  <si>
    <t xml:space="preserve">VOC-015</t>
  </si>
  <si>
    <t xml:space="preserve">Hall 12 Canteen</t>
  </si>
  <si>
    <t xml:space="preserve">PhonePe for daily perishables; Google Pay for stock bills</t>
  </si>
  <si>
    <t xml:space="preserve">Ek hi app me sab ho jaye toh badhiya hai.</t>
  </si>
  <si>
    <t xml:space="preserve">VOC-016</t>
  </si>
  <si>
    <t xml:space="preserve">PhonePe for stock bills; Cash for rent</t>
  </si>
  <si>
    <t xml:space="preserve">GPay par salesman ka QR scanned rehta hai, wahi use karta hu.</t>
  </si>
  <si>
    <t xml:space="preserve">VOC-017</t>
  </si>
  <si>
    <t xml:space="preserve">Cash for stock bills; PhonePe for rent</t>
  </si>
  <si>
    <t xml:space="preserve">Doodh wala cash ya PhonePe mangta hai daily.</t>
  </si>
  <si>
    <t xml:space="preserve">VOC-018</t>
  </si>
  <si>
    <t xml:space="preserve">Paytm business app kholna bhari lagta hai payment ke liye.</t>
  </si>
  <si>
    <t xml:space="preserve">VOC-019</t>
  </si>
  <si>
    <t xml:space="preserve">Bithoor Road</t>
  </si>
  <si>
    <t xml:space="preserve">Bade payment bank transfer se hi safe lagte hain.</t>
  </si>
  <si>
    <t xml:space="preserve">Trust/Large amounts</t>
  </si>
  <si>
    <t xml:space="preserve">Pay supplier's bank account over UPI (bills are under ₹1 L) with invoice attached</t>
  </si>
  <si>
    <t xml:space="preserve">VOC-020</t>
  </si>
  <si>
    <t xml:space="preserve">PhonePe for stock bills; Cash for daily perishables</t>
  </si>
  <si>
    <t xml:space="preserve">Cash kam padta hai toh udhaar likhte hain copy me.</t>
  </si>
  <si>
    <t xml:space="preserve">VOC-021</t>
  </si>
  <si>
    <t xml:space="preserve">Hall 13 Canteen</t>
  </si>
  <si>
    <t xml:space="preserve">Google Pay for daily perishables; PhonePe for stock bills</t>
  </si>
  <si>
    <t xml:space="preserve">Canteen ka hisaab daily GPay se set ho jata hai.</t>
  </si>
  <si>
    <t xml:space="preserve">VOC-022</t>
  </si>
  <si>
    <t xml:space="preserve">Bank transfer (NEFT/RTGS) for stock bills; PhonePe for rent</t>
  </si>
  <si>
    <t xml:space="preserve">Mobile accessories wali agency GPay par cash nahi leti bada, RTGS mangte hain.</t>
  </si>
  <si>
    <t xml:space="preserve">High ticket sizes</t>
  </si>
  <si>
    <t xml:space="preserve">VOC-023</t>
  </si>
  <si>
    <t xml:space="preserve">Medical wale GPay prefer karte hain, wahi chalta aa raha hai.</t>
  </si>
  <si>
    <t xml:space="preserve">VOC-024</t>
  </si>
  <si>
    <t xml:space="preserve">PhonePe sab use karte hain yahan gali me.</t>
  </si>
  <si>
    <t xml:space="preserve">VOC-025</t>
  </si>
  <si>
    <t xml:space="preserve">Soundbox bolta hai toh trust hota hai, par pay karne ke liye PhonePe theek hai.</t>
  </si>
  <si>
    <t xml:space="preserve">VOC-026</t>
  </si>
  <si>
    <t xml:space="preserve">Staff pay karta hai kabhi kabhi cash me subah subah.</t>
  </si>
  <si>
    <t xml:space="preserve">VOC-027</t>
  </si>
  <si>
    <t xml:space="preserve">Kapde ka stock bada hota hai, RTGS se jata hai.</t>
  </si>
  <si>
    <t xml:space="preserve">VOC-028</t>
  </si>
  <si>
    <t xml:space="preserve">Bread wala daily cash le jata hai, UPI nahi leta.</t>
  </si>
  <si>
    <t xml:space="preserve">VOC-029</t>
  </si>
  <si>
    <t xml:space="preserve">App badalne me aalas aata hai yaar.</t>
  </si>
  <si>
    <t xml:space="preserve">VOC-030</t>
  </si>
  <si>
    <t xml:space="preserve">Google Pay for stock bills; PhonePe for staff salary</t>
  </si>
  <si>
    <t xml:space="preserve">Challan WhatsApp pe aata hai, wahi se pay kar dete hain GPay pe.</t>
  </si>
  <si>
    <t xml:space="preserve">VOC-031</t>
  </si>
  <si>
    <t xml:space="preserve">Paytm se personal payment karte hain, business ke liye GPay.</t>
  </si>
  <si>
    <t xml:space="preserve">VOC-032</t>
  </si>
  <si>
    <t xml:space="preserve">Bhaiya, udhaar toh chalta hi hai, Paytm 7 din dega toh badhiya hai.</t>
  </si>
  <si>
    <t xml:space="preserve">VOC-033</t>
  </si>
  <si>
    <t xml:space="preserve">Stationery ka stock mahine me ek baar aata hai, GPay se jata hai.</t>
  </si>
  <si>
    <t xml:space="preserve">VOC-034</t>
  </si>
  <si>
    <t xml:space="preserve">Distributor bolta hai direct current account me daal do.</t>
  </si>
  <si>
    <t xml:space="preserve">VOC-035</t>
  </si>
  <si>
    <t xml:space="preserve">Kaam ke time jo app jaldi khule usse pay kar dete hain.</t>
  </si>
  <si>
    <t xml:space="preserve">VOC-036</t>
  </si>
  <si>
    <t xml:space="preserve">Kal kya dena hai bata de toh tension kam hogi, yaad nahi rehta.</t>
  </si>
  <si>
    <t xml:space="preserve">VOC-037</t>
  </si>
  <si>
    <t xml:space="preserve">Roz ka kharcha cash me ya GPay se nikal jata hai smoothly.</t>
  </si>
  <si>
    <t xml:space="preserve">VOC-038</t>
  </si>
  <si>
    <t xml:space="preserve">Wholesaler ko PhonePe ya NEFT se dete hain, aasan lagta hai.</t>
  </si>
  <si>
    <t xml:space="preserve">VOC-039</t>
  </si>
  <si>
    <t xml:space="preserve">Cash kam hota hai din me, Paytm credit de toh mast hai.</t>
  </si>
  <si>
    <t xml:space="preserve">VOC-040</t>
  </si>
  <si>
    <t xml:space="preserve">Bill ki photo khich ke pay karna achha idea hai, time bachega.</t>
  </si>
  <si>
    <t xml:space="preserve">VOC-041</t>
  </si>
  <si>
    <t xml:space="preserve">Salesman samne khada hota hai, jo QR de de us par kar dete hain.</t>
  </si>
  <si>
    <t xml:space="preserve">VOC-042</t>
  </si>
  <si>
    <t xml:space="preserve">Google Pay for stock bills; PhonePe for daily perishables</t>
  </si>
  <si>
    <t xml:space="preserve">Paytm Chukta jaisa kuch aaye toh zaroor try karenge.</t>
  </si>
  <si>
    <t xml:space="preserve">VOC-043</t>
  </si>
  <si>
    <t xml:space="preserve">Pay later toh bohot zaroori hai dukaandaron ke liye aaj kal.</t>
  </si>
  <si>
    <t xml:space="preserve">VOC-044</t>
  </si>
  <si>
    <t xml:space="preserve">Bank transfer (NEFT/RTGS) for stock bills; PhonePe for staff salary</t>
  </si>
  <si>
    <t xml:space="preserve">Agar bill dikh jaye app me toh easy ho jayega reconcile karna.</t>
  </si>
  <si>
    <t xml:space="preserve">Invoice-tagged payments + auto purchase register</t>
  </si>
  <si>
    <t xml:space="preserve">VOC-045</t>
  </si>
  <si>
    <t xml:space="preserve">Chai patti ka bill PhonePe se jata hai hamesha se.</t>
  </si>
  <si>
    <t xml:space="preserve">VOC-046</t>
  </si>
  <si>
    <t xml:space="preserve">GPay tez chalta hai payment ke liye chote amounts par.</t>
  </si>
  <si>
    <t xml:space="preserve">VOC-047</t>
  </si>
  <si>
    <t xml:space="preserve">7 din ka time mil jaye toh stock aur manga lenge.</t>
  </si>
  <si>
    <t xml:space="preserve">VOC-048</t>
  </si>
  <si>
    <t xml:space="preserve">Google Pay for stock bills; Cash for rent</t>
  </si>
  <si>
    <t xml:space="preserve">Credit mil jaye toh bohot kaam aayega stock ke din.</t>
  </si>
  <si>
    <t xml:space="preserve">VOC-049</t>
  </si>
  <si>
    <t xml:space="preserve">Paytm ka QR laga hai bas, use to cash hi hota hai.</t>
  </si>
  <si>
    <t xml:space="preserve">VOC-050</t>
  </si>
  <si>
    <t xml:space="preserve">Paytm me to sirf paise aate hain, udhaar ka feature accha rahega.</t>
  </si>
  <si>
    <t xml:space="preserve">VOC Dashboard  –  updates automatically from 'VOC Collection'</t>
  </si>
  <si>
    <t xml:space="preserve">Every number here is a formula. Use these numbers in the executive summary (the PDF's VOC panel).</t>
  </si>
  <si>
    <t xml:space="preserve">Sample quality (brief asks for 50 VOCs, ≥10 in-depth, variety)</t>
  </si>
  <si>
    <t xml:space="preserve">Business UPI ₹ / month by app (all 3 use cases)</t>
  </si>
  <si>
    <t xml:space="preserve">VOCs logged (rows with City / area filled)</t>
  </si>
  <si>
    <t xml:space="preserve">App</t>
  </si>
  <si>
    <t xml:space="preserve">₹ / month</t>
  </si>
  <si>
    <t xml:space="preserve">Share</t>
  </si>
  <si>
    <t xml:space="preserve">…of which merchants</t>
  </si>
  <si>
    <t xml:space="preserve">In-depth conversations (target ≥ 10)</t>
  </si>
  <si>
    <t xml:space="preserve">Distinct areas covered</t>
  </si>
  <si>
    <t xml:space="preserve">Paytm</t>
  </si>
  <si>
    <t xml:space="preserve">Distinct business categories</t>
  </si>
  <si>
    <t xml:space="preserve">BHIM</t>
  </si>
  <si>
    <t xml:space="preserve">Decision-maker interviewed (owner / family / manager)</t>
  </si>
  <si>
    <t xml:space="preserve">Bank's own app</t>
  </si>
  <si>
    <t xml:space="preserve">Navi</t>
  </si>
  <si>
    <t xml:space="preserve">The headline: money in on Paytm, money out elsewhere</t>
  </si>
  <si>
    <t xml:space="preserve">Other UPI app</t>
  </si>
  <si>
    <t xml:space="preserve">Shops where customers pay mostly via Paytm (Soundbox or QR)</t>
  </si>
  <si>
    <t xml:space="preserve">…of these, pay suppliers mostly via another app, cash or bank ('the leak')</t>
  </si>
  <si>
    <t xml:space="preserve">Leak rate among Paytm-receiving shops</t>
  </si>
  <si>
    <t xml:space="preserve">Supplier payments made from owner's personal phone</t>
  </si>
  <si>
    <t xml:space="preserve">Business ₹ / month by use case</t>
  </si>
  <si>
    <t xml:space="preserve">Use case</t>
  </si>
  <si>
    <t xml:space="preserve">Outgoing business UPI logged (₹ / month, all respondents)</t>
  </si>
  <si>
    <t xml:space="preserve">Company / brand direct</t>
  </si>
  <si>
    <t xml:space="preserve">Total business UPI paid / month</t>
  </si>
  <si>
    <t xml:space="preserve">…paid via Paytm</t>
  </si>
  <si>
    <t xml:space="preserve">Paytm share of logged business UPI</t>
  </si>
  <si>
    <t xml:space="preserve">Electricity / utilities</t>
  </si>
  <si>
    <t xml:space="preserve">Average business UPI per merchant / month</t>
  </si>
  <si>
    <t xml:space="preserve">Median monthly stock purchase reported</t>
  </si>
  <si>
    <t xml:space="preserve">Transport / porter / courier</t>
  </si>
  <si>
    <t xml:space="preserve">Loan EMI / equipment</t>
  </si>
  <si>
    <t xml:space="preserve">Concept test</t>
  </si>
  <si>
    <t xml:space="preserve">Avg reaction to 'bills inside Paytm' (1–5)</t>
  </si>
  <si>
    <t xml:space="preserve">Rated 4 or 5</t>
  </si>
  <si>
    <t xml:space="preserve">Coded barriers (column AD)</t>
  </si>
  <si>
    <t xml:space="preserve">Would use 7-day pay-later for stock: Yes</t>
  </si>
  <si>
    <t xml:space="preserve">Barrier</t>
  </si>
  <si>
    <t xml:space="preserve">Count</t>
  </si>
  <si>
    <t xml:space="preserve">…Maybe</t>
  </si>
  <si>
    <t xml:space="preserve">Supplier asked for cash / bank transfer recently</t>
  </si>
  <si>
    <t xml:space="preserve">Ratings are stored as numbers 1–5 (pick from the dropdown).</t>
  </si>
  <si>
    <t xml:space="preserve">Trust / past issue with Paytm</t>
  </si>
  <si>
    <t xml:space="preserve">Better rewards elsewhere</t>
  </si>
  <si>
    <t xml:space="preserve">Limits / payment failures</t>
  </si>
  <si>
    <t xml:space="preserve">Primary app for business payments (column G)</t>
  </si>
  <si>
    <t xml:space="preserve">Respondents by category (column E)</t>
  </si>
  <si>
    <t xml:space="preserve">Wholesaler / distributor</t>
  </si>
  <si>
    <t xml:space="preserve">Opportunity sizing &amp; business impact  –  Paytm Chukta (Track B)</t>
  </si>
  <si>
    <t xml:space="preserve">Blue = input you can change. Black = formula. Every input has its source or reasoning in column F.</t>
  </si>
  <si>
    <t xml:space="preserve">A. Addressable pool (today)</t>
  </si>
  <si>
    <t xml:space="preserve">Source / reasoning</t>
  </si>
  <si>
    <t xml:space="preserve">Paytm subscription (device) merchants</t>
  </si>
  <si>
    <t xml:space="preserve">Paytm Q1 FY27 results (Jul 2026): 1.57 crore merchants paying for devices (Soundbox, QR, card machines).</t>
  </si>
  <si>
    <t xml:space="preserve">Share that buy stock from suppliers regularly (kirana, pharmacy, FMCG, hardware, dairy, etc.)</t>
  </si>
  <si>
    <t xml:space="preserve">Assumption. Soundbox base is dominated by small retail; excludes pure services (salons, food stalls). Check against VOC category mix.</t>
  </si>
  <si>
    <t xml:space="preserve">Stock-buying Paytm device merchants</t>
  </si>
  <si>
    <t xml:space="preserve">Share already paying suppliers by UPI at least monthly</t>
  </si>
  <si>
    <t xml:space="preserve">Kept conservative for a national roll-out. Kanpur VOC: 48 of 50 shops pay at least one business bill over UPI (VOC Dashboard).</t>
  </si>
  <si>
    <t xml:space="preserve">Target merchants (the segment)</t>
  </si>
  <si>
    <t xml:space="preserve">Average outgoing business UPI per merchant / month (₹)</t>
  </si>
  <si>
    <t xml:space="preserve">National assumption: ₹3L sales × ~80% on stock × ~25% via UPI. Kanpur VOC average is higher at ~₹1.09 L per shop (VOC Dashboard B23), so ₹60k is conservative.</t>
  </si>
  <si>
    <t xml:space="preserve">Pool: outgoing business UPI / month (₹ crore)</t>
  </si>
  <si>
    <t xml:space="preserve">Pool: per year (₹ lakh crore)</t>
  </si>
  <si>
    <t xml:space="preserve">Paytm's share of this outgoing GMV today</t>
  </si>
  <si>
    <t xml:space="preserve">≈ Paytm's national UPI volume share (8.1%, Aug 2026, NPCI via Inc42). In the Kanpur VOC it is 0% (Dashboard B22); 8% keeps the uplift conservative.</t>
  </si>
  <si>
    <t xml:space="preserve">Paytm GMV from this pool today (₹ crore / month)</t>
  </si>
  <si>
    <t xml:space="preserve">National UPI value, Aug 2026 (₹ lakh crore / month)</t>
  </si>
  <si>
    <t xml:space="preserve">NPCI, Aug 2026: 24.51 bn transactions worth ₹29.82 lakh crore (Inc42).</t>
  </si>
  <si>
    <t xml:space="preserve">Pool as % of national UPI value</t>
  </si>
  <si>
    <t xml:space="preserve">B. Adoption of Paytm Chukta</t>
  </si>
  <si>
    <t xml:space="preserve">Year 1</t>
  </si>
  <si>
    <t xml:space="preserve">Year 2</t>
  </si>
  <si>
    <t xml:space="preserve">Year 3</t>
  </si>
  <si>
    <t xml:space="preserve">Share of target merchants who activate Chukta</t>
  </si>
  <si>
    <t xml:space="preserve">Assumption. Y1 driven by distributor-led onboarding + Soundbox evening nudge; pilot KPI in Kanpur tests this.</t>
  </si>
  <si>
    <t xml:space="preserve">Chukta merchants = new 'business-payer' MTUs</t>
  </si>
  <si>
    <t xml:space="preserve">Paytm share of an adopter's business UPI</t>
  </si>
  <si>
    <t xml:space="preserve">Assumption. Bills sitting inside Paytm make Paytm the default place to pay; remaining share = suppliers who insist on cash/other.</t>
  </si>
  <si>
    <t xml:space="preserve">Uplift vs today (pp)</t>
  </si>
  <si>
    <t xml:space="preserve">Incremental Paytm UPI GMV (₹ crore / month)</t>
  </si>
  <si>
    <t xml:space="preserve">Incremental Paytm UPI GMV (₹ crore / year)</t>
  </si>
  <si>
    <t xml:space="preserve">Added to Paytm's share of national UPI value (pp, on Aug-26 base)</t>
  </si>
  <si>
    <t xml:space="preserve">Supplier payments per adopter / month (all apps)</t>
  </si>
  <si>
    <t xml:space="preserve">Assumption: ~3 suppliers paid weekly-ish. Replace with VOC (sum of UC payments / month).</t>
  </si>
  <si>
    <t xml:space="preserve">Supplier payments on Paytm per adopter / month (frequency)</t>
  </si>
  <si>
    <t xml:space="preserve">Today ≈ 10 × 8% = 0.8 per month.</t>
  </si>
  <si>
    <t xml:space="preserve">Incremental Paytm transactions (lakh / month)</t>
  </si>
  <si>
    <t xml:space="preserve">C. Revenue for Paytm (no cashback needed)</t>
  </si>
  <si>
    <t xml:space="preserve">Share of supplier GMV that is P2M and &gt; ₹2,000 (MDR-eligible)</t>
  </si>
  <si>
    <t xml:space="preserve">Assumption: distributor payments are mostly ₹5k–₹50k to merchant QRs; rest are small/perishable or to bank accounts (P2P).</t>
  </si>
  <si>
    <t xml:space="preserve">Payer-app (TPAP) share of MDR</t>
  </si>
  <si>
    <t xml:space="preserve">NPCI circular (15 Sep 2026, effective 15 Oct 2026): 0.4% MDR on P2M &gt; ₹2,000 split 0.28% issuer, 0.08% TPAP, 0.04% acquirer (Inc42).</t>
  </si>
  <si>
    <t xml:space="preserve">MDR income to Paytm as payer app (₹ crore / year)</t>
  </si>
  <si>
    <t xml:space="preserve">Adopters using Chukta Credit (7/15-day pay-later)</t>
  </si>
  <si>
    <t xml:space="preserve">Assumption. Credit Line on UPI via Paytm's lending partners; limits set from Soundbox inflow history.</t>
  </si>
  <si>
    <t xml:space="preserve">Average credit drawn per user / month (₹)</t>
  </si>
  <si>
    <t xml:space="preserve">Assumption: ~1/3 of monthly business UPI.</t>
  </si>
  <si>
    <t xml:space="preserve">Credit disbursed (₹ crore / year)</t>
  </si>
  <si>
    <t xml:space="preserve">Paytm distribution take on credit (% of disbursal)</t>
  </si>
  <si>
    <t xml:space="preserve">Conservative assumption for a short-tenor line; actual depends on lender contracts.</t>
  </si>
  <si>
    <t xml:space="preserve">Credit distribution revenue (₹ crore / year)</t>
  </si>
  <si>
    <t xml:space="preserve">Total new revenue (₹ crore / year)</t>
  </si>
  <si>
    <t xml:space="preserve">Excludes Soundbox churn saved and distributor-side acquiring revenue (upside).</t>
  </si>
  <si>
    <t xml:space="preserve">D. 90-day Kanpur pilot (targets)</t>
  </si>
  <si>
    <t xml:space="preserve">Distributors onboarded (FMCG + pharma)</t>
  </si>
  <si>
    <t xml:space="preserve">Target: Kanpur wholesale clusters + distributors serving Kalyanpur / Swaroop Nagar / Kakadeo retail.</t>
  </si>
  <si>
    <t xml:space="preserve">Retailers per distributor (avg)</t>
  </si>
  <si>
    <t xml:space="preserve">Assumption; confirm in distributor interviews.</t>
  </si>
  <si>
    <t xml:space="preserve">Retailers reachable</t>
  </si>
  <si>
    <t xml:space="preserve">Activation target (retailers who pay ≥1 bill in Chukta)</t>
  </si>
  <si>
    <t xml:space="preserve">Pilot success bar.</t>
  </si>
  <si>
    <t xml:space="preserve">Active pilot merchants</t>
  </si>
  <si>
    <t xml:space="preserve">Pilot incremental GMV (₹ crore / month) at Y1 share uplift</t>
  </si>
  <si>
    <t xml:space="preserve">Field Guide  –  how to run each conversation</t>
  </si>
  <si>
    <t xml:space="preserve">Speak Hinglish, keep it friendly, and always anchor on the LAST real payment. Log straight into the yellow cells.</t>
  </si>
  <si>
    <t xml:space="preserve">Sampling plan (50)</t>
  </si>
  <si>
    <t xml:space="preserve">10 in-depth (15–20 min) + 40 short (5 min). All are owners / people who pay suppliers.</t>
  </si>
  <si>
    <t xml:space="preserve">Mix: ~15 kirana/grocery, 8 pharmacy, 7 general/FMCG, 5 dairy/bakery, 5 hardware/paint, 4 mobile/electronics, 6 others (incl. 2–3 distributors for the supply-side view).</t>
  </si>
  <si>
    <t xml:space="preserve">Spread across 5+ areas, e.g. Kalyanpur, Swaroop Nagar, Kakadeo, Govind Nagar, Naveen Market, the Nayaganj / Generalganj wholesale belt, and IIT Kanpur campus shops.</t>
  </si>
  <si>
    <t xml:space="preserve">Include both Paytm-Soundbox shops and non-Paytm shops so the comparison is fair.</t>
  </si>
  <si>
    <t xml:space="preserve">Short script (5 min) – ask in this order</t>
  </si>
  <si>
    <t xml:space="preserve">Q1</t>
  </si>
  <si>
    <t xml:space="preserve">Customers aapko zyada kaise pay karte hain – kaunsa QR ya speaker? (→ column O)</t>
  </si>
  <si>
    <t xml:space="preserve">Q2</t>
  </si>
  <si>
    <t xml:space="preserve">Aap maal kin-kin ko pay karte ho? Sabse bada payment kiska hota hai? (→ use cases R, V, Z)</t>
  </si>
  <si>
    <t xml:space="preserve">Q3</t>
  </si>
  <si>
    <t xml:space="preserve">Pichhli baar distributor ko kitna diya, kis app se, aur mahine mein kitni baar? (→ S/T/U etc.)</t>
  </si>
  <si>
    <t xml:space="preserve">Q4</t>
  </si>
  <si>
    <t xml:space="preserve">Wo payment kis phone se karte ho – dukaan wala ya apna personal? (→ P)</t>
  </si>
  <si>
    <t xml:space="preserve">Q5</t>
  </si>
  <si>
    <t xml:space="preserve">Paytm Business app se kabhi supplier ko pay kiya? Kyon / kyon nahi? (→ I, J, AD) – write their exact words in H, I and L.</t>
  </si>
  <si>
    <t xml:space="preserve">Q6</t>
  </si>
  <si>
    <t xml:space="preserve">Pata tha ki Paytm se supplier ko bhi pay kar sakte ho? (→ AE)</t>
  </si>
  <si>
    <t xml:space="preserve">Q7</t>
  </si>
  <si>
    <t xml:space="preserve">Agar distributor ka bill seedha Paytm mein aa jaaye aur ek tap mein pay ho jaaye – 1 se 5 mein kitna kaam ka? (→ AF)</t>
  </si>
  <si>
    <t xml:space="preserve">Q8</t>
  </si>
  <si>
    <t xml:space="preserve">Maal aate waqt paise kam pad jaate hain kya? 7 din baad pay karne ka option lenge? (→ AG)  |  Kisi supplier ne recently cash / bank transfer maanga? (→ AH)</t>
  </si>
  <si>
    <t xml:space="preserve">In-depth add-ons (15–20 min)</t>
  </si>
  <si>
    <t xml:space="preserve">D1</t>
  </si>
  <si>
    <t xml:space="preserve">Walk me through last week's supplier payments one by one: who, how much, which app, why that app.</t>
  </si>
  <si>
    <t xml:space="preserve">D2</t>
  </si>
  <si>
    <t xml:space="preserve">How do you keep track of which bill is paid? Show me the diary / WhatsApp / app you use.</t>
  </si>
  <si>
    <t xml:space="preserve">D3</t>
  </si>
  <si>
    <t xml:space="preserve">Has receiving money on Paytm ever made you pay from Paytm? What would?</t>
  </si>
  <si>
    <t xml:space="preserve">D4</t>
  </si>
  <si>
    <t xml:space="preserve">What went wrong the last time a supplier payment failed or got stuck? Who helped?</t>
  </si>
  <si>
    <t xml:space="preserve">D5</t>
  </si>
  <si>
    <t xml:space="preserve">Credit: how many days of 'udhaar' does your distributor give? What happens when you're short?</t>
  </si>
  <si>
    <t xml:space="preserve">D6</t>
  </si>
  <si>
    <t xml:space="preserve">Show the Chukta idea on paper (bill photo → reminder → pay / pay later). What would stop you using it?</t>
  </si>
  <si>
    <t xml:space="preserve">Rules that keep the VOC valid</t>
  </si>
  <si>
    <t xml:space="preserve">•</t>
  </si>
  <si>
    <t xml:space="preserve">Ask about real, recent payments – not 'would you'. The brief explicitly wants behaviour, not intent.</t>
  </si>
  <si>
    <t xml:space="preserve">Don't lead. Ask 'which app?' before mentioning Paytm.</t>
  </si>
  <si>
    <t xml:space="preserve">Anonymise: no names, phone numbers or shop names in the sheet.</t>
  </si>
  <si>
    <t xml:space="preserve">Write quotes in their own words (Hinglish is fine) in column L.</t>
  </si>
  <si>
    <t xml:space="preserve">How a filled row should look (EXAMPLE ONLY – not a real respondent, do not copy into the VOC sheet)</t>
  </si>
  <si>
    <t xml:space="preserve">Respondent type / area / category</t>
  </si>
  <si>
    <t xml:space="preserve">Merchant  |  Kalyanpur  |  Kirana / grocery</t>
  </si>
  <si>
    <t xml:space="preserve">Apps used / primary app</t>
  </si>
  <si>
    <t xml:space="preserve">PhonePe, Paytm (receiving only)  |  PhonePe</t>
  </si>
  <si>
    <t xml:space="preserve">Why chosen (exact words)</t>
  </si>
  <si>
    <t xml:space="preserve">"Distributor ka salesman PhonePe ka QR hi dikhata hai, wahi aadat hai."</t>
  </si>
  <si>
    <t xml:space="preserve">When / why Paytm used</t>
  </si>
  <si>
    <t xml:space="preserve">Only receives customer payments on the Paytm Soundbox; never paid a supplier from it.</t>
  </si>
  <si>
    <t xml:space="preserve">Barrier (own words) / coded</t>
  </si>
  <si>
    <t xml:space="preserve">Business app feels like a 'receiving machine' | Pays from personal phone (Paytm Business is only for receiving)</t>
  </si>
  <si>
    <t xml:space="preserve">Use case 1 / per month / amount / app</t>
  </si>
  <si>
    <t xml:space="preserve">Distributor / wholesaler (stock) | 6 | ₹14,000 | PhonePe</t>
  </si>
  <si>
    <t xml:space="preserve">Use case 2 / per month / amount / app</t>
  </si>
  <si>
    <t xml:space="preserve">Daily perishables | 26 | ₹900 | Google Pay</t>
  </si>
  <si>
    <t xml:space="preserve">Concept 1–5 / pay-later / supplier asked cash</t>
  </si>
  <si>
    <t xml:space="preserve">4 | Maybe | Not yet</t>
  </si>
  <si>
    <t xml:space="preserve">Sources used in the executive summary and sizing</t>
  </si>
  <si>
    <t xml:space="preserve">Paytm Q1 FY27: 1.57 Cr device merchants, merchant GMV ₹7.1 L Cr (+31%), financial services revenue ₹814 Cr (+45%), MTU 8 Cr</t>
  </si>
  <si>
    <t xml:space="preserve">https://upstox.com/news/market-news/earnings/paytm-q1-results-revenue-jumps-28-yo-y-to-2-448-crore-ebitda-zooms-182-yo-y-check-key-metrics/article-197256/</t>
  </si>
  <si>
    <t xml:space="preserve">UPI app shares, Aug 2026: PhonePe 45.9%, Google Pay 32.4%, Paytm 8.1% (1.98 bn txns, ₹2.04 L Cr); UPI 24.51 bn txns</t>
  </si>
  <si>
    <t xml:space="preserve">https://inc42.com/buzz/upi-in-august-navis-market-share-climbs-to-4-4-phonepe-google-pay-slip/</t>
  </si>
  <si>
    <t xml:space="preserve">UPI MDR from 15 Oct 2026: 0.4% on P2M &gt; ₹2,000, ₹300 cap; split 0.28% issuer / 0.08% TPAP / 0.04% acquirer; P2PM (≤ ₹1 L/month) exempt</t>
  </si>
  <si>
    <t xml:space="preserve">https://inc42.com/features/upi-mdr-regime-explained-heres-what-will-be-charged-after-oct-15/</t>
  </si>
  <si>
    <t xml:space="preserve">Paytm disclosure to exchanges on the NPCI MDR circular (15 Sep 2026)</t>
  </si>
  <si>
    <t xml:space="preserve">https://nsearchives.nseindia.com/corporate/PAYTM_15092026234600_SEDisclosureNPCICircularsd.pdf</t>
  </si>
  <si>
    <t xml:space="preserve">Brokerage estimates of MDR upside for Paytm (JM Financial, Goldman Sachs)</t>
  </si>
  <si>
    <t xml:space="preserve">https://www.5paisa.com/blog/paytm-pine-labs-draw-brokerage-attention-after-new-upi-mdr-framework</t>
  </si>
  <si>
    <t xml:space="preserve">PhonePe plans 50 lakh devices and 20,000+ frontline hires; Pine Labs 10 lakh soundboxes (Sep 2026)</t>
  </si>
  <si>
    <t xml:space="preserve">https://retailintel.in/signal/upi-mdr-to-start-oct-15-funding-payment-security-and-merchan-eaeb02ea</t>
  </si>
  <si>
    <t xml:space="preserve">Credit Line on UPI: merchant-only (P2M) payments from pre-approved bank credit lines, supported on Paytm</t>
  </si>
  <si>
    <t xml:space="preserve">https://www.forbesindia.com/article/explainers/upi-credit-line-explained/96426/1</t>
  </si>
  <si>
    <t xml:space="preserve">Bharat Connect for Business (NBBL): invoice exchange, payment and auto-reconciliation for B2B; 2 mn+ invoice transactions in Q3 FY26</t>
  </si>
  <si>
    <t xml:space="preserve">https://www.bharat-connect.com/strapi/uploads/NBBL_s_Bharat_Connect_for_Business_Paves_Way_for_Seamless_and_Interoperable_B2_B_Connectivity_Across_Gujarat_s_43_Lakh_MSM_Es_654710dadb.pdf</t>
  </si>
  <si>
    <t xml:space="preserve">Paytm for Business app today: focused on accepting payments, settlements, Soundbox daily summary, merchant loans</t>
  </si>
  <si>
    <t xml:space="preserve">https://play.google.com/store/apps/details?id=com.paytm.business&amp;hl=en_US</t>
  </si>
  <si>
    <t xml:space="preserve">list_interview</t>
  </si>
  <si>
    <t xml:space="preserve">list_role</t>
  </si>
  <si>
    <t xml:space="preserve">list_receive</t>
  </si>
  <si>
    <t xml:space="preserve">list_payfrom</t>
  </si>
  <si>
    <t xml:space="preserve">list_uc</t>
  </si>
  <si>
    <t xml:space="preserve">list_app</t>
  </si>
  <si>
    <t xml:space="preserve">list_barrier</t>
  </si>
  <si>
    <t xml:space="preserve">list_yn</t>
  </si>
  <si>
    <t xml:space="preserve">list_ynm</t>
  </si>
  <si>
    <t xml:space="preserve">list_ynn</t>
  </si>
  <si>
    <t xml:space="preserve">list_15</t>
  </si>
  <si>
    <t xml:space="preserve">list_cat</t>
  </si>
  <si>
    <t xml:space="preserve">list_primary</t>
  </si>
  <si>
    <t xml:space="preserve">Family member / partner</t>
  </si>
  <si>
    <t xml:space="preserve">Manager who pays suppliers</t>
  </si>
  <si>
    <t xml:space="preserve">Mostly cash</t>
  </si>
</sst>
</file>

<file path=xl/styles.xml><?xml version="1.0" encoding="utf-8"?>
<styleSheet xmlns="http://schemas.openxmlformats.org/spreadsheetml/2006/main">
  <numFmts count="17">
    <numFmt numFmtId="164" formatCode="General"/>
    <numFmt numFmtId="165" formatCode="dd\-mm\-yyyy"/>
    <numFmt numFmtId="166" formatCode="\₹#,##0"/>
    <numFmt numFmtId="167" formatCode="\₹#,##0;&quot;(₹&quot;#,##0\);\-"/>
    <numFmt numFmtId="168" formatCode="0%"/>
    <numFmt numFmtId="169" formatCode="General"/>
    <numFmt numFmtId="170" formatCode="0"/>
    <numFmt numFmtId="171" formatCode="0.0%"/>
    <numFmt numFmtId="172" formatCode="0.0"/>
    <numFmt numFmtId="173" formatCode="#,##0"/>
    <numFmt numFmtId="174" formatCode="\₹#,##0&quot; Cr&quot;"/>
    <numFmt numFmtId="175" formatCode="\₹0.00&quot; L Cr&quot;"/>
    <numFmt numFmtId="176" formatCode="0.00"/>
    <numFmt numFmtId="177" formatCode="0.00%"/>
    <numFmt numFmtId="178" formatCode="#,##0.0"/>
    <numFmt numFmtId="179" formatCode="\₹#,##0.0"/>
    <numFmt numFmtId="180" formatCode="\₹#,##0.00"/>
  </numFmts>
  <fonts count="28">
    <font>
      <sz val="11"/>
      <name val="Calibri"/>
      <family val="0"/>
      <charset val="1"/>
    </font>
    <font>
      <sz val="10"/>
      <name val="Arial"/>
      <family val="0"/>
    </font>
    <font>
      <sz val="10"/>
      <name val="Arial"/>
      <family val="0"/>
    </font>
    <font>
      <sz val="10"/>
      <name val="Arial"/>
      <family val="0"/>
    </font>
    <font>
      <b val="true"/>
      <sz val="16"/>
      <color rgb="FF0B1F3A"/>
      <name val="Arial"/>
      <family val="0"/>
      <charset val="1"/>
    </font>
    <font>
      <b val="true"/>
      <sz val="10"/>
      <color rgb="FF5F6B7A"/>
      <name val="Arial"/>
      <family val="0"/>
      <charset val="1"/>
    </font>
    <font>
      <b val="true"/>
      <sz val="11"/>
      <color rgb="FF0B1F3A"/>
      <name val="Arial"/>
      <family val="0"/>
      <charset val="1"/>
    </font>
    <font>
      <sz val="10"/>
      <color rgb="FF0B1F3A"/>
      <name val="Arial"/>
      <family val="0"/>
      <charset val="1"/>
    </font>
    <font>
      <b val="true"/>
      <sz val="16"/>
      <color rgb="FF0B1F3A"/>
      <name val="Arial"/>
      <family val="2"/>
      <charset val="1"/>
    </font>
    <font>
      <i val="true"/>
      <sz val="10"/>
      <color rgb="FF5F6B7A"/>
      <name val="Arial"/>
      <family val="2"/>
      <charset val="1"/>
    </font>
    <font>
      <b val="true"/>
      <sz val="9"/>
      <color rgb="FFFFFFFF"/>
      <name val="Arial"/>
      <family val="2"/>
      <charset val="1"/>
    </font>
    <font>
      <b val="true"/>
      <sz val="9"/>
      <color rgb="FF0B1F3A"/>
      <name val="Arial"/>
      <family val="2"/>
      <charset val="1"/>
    </font>
    <font>
      <sz val="9"/>
      <color rgb="FF0B1F3A"/>
      <name val="Arial"/>
      <family val="0"/>
      <charset val="1"/>
    </font>
    <font>
      <sz val="9"/>
      <color rgb="FF000000"/>
      <name val="Arial"/>
      <family val="0"/>
      <charset val="1"/>
    </font>
    <font>
      <sz val="10"/>
      <name val="Arial"/>
      <family val="2"/>
    </font>
    <font>
      <sz val="10"/>
      <color rgb="FF5F6B7A"/>
      <name val="Arial"/>
      <family val="0"/>
      <charset val="1"/>
    </font>
    <font>
      <b val="true"/>
      <sz val="10"/>
      <color rgb="FFFFFFFF"/>
      <name val="Arial"/>
      <family val="0"/>
      <charset val="1"/>
    </font>
    <font>
      <b val="true"/>
      <sz val="10"/>
      <color rgb="FF000000"/>
      <name val="Arial"/>
      <family val="0"/>
      <charset val="1"/>
    </font>
    <font>
      <b val="true"/>
      <sz val="9"/>
      <color rgb="FF0B1F3A"/>
      <name val="Arial"/>
      <family val="0"/>
      <charset val="1"/>
    </font>
    <font>
      <i val="true"/>
      <sz val="8"/>
      <color rgb="FF5F6B7A"/>
      <name val="Arial"/>
      <family val="0"/>
      <charset val="1"/>
    </font>
    <font>
      <b val="true"/>
      <sz val="9"/>
      <color rgb="FF5F6B7A"/>
      <name val="Arial"/>
      <family val="0"/>
      <charset val="1"/>
    </font>
    <font>
      <sz val="10"/>
      <color rgb="FF0000FF"/>
      <name val="Arial"/>
      <family val="0"/>
      <charset val="1"/>
    </font>
    <font>
      <sz val="8"/>
      <color rgb="FF5F6B7A"/>
      <name val="Arial"/>
      <family val="0"/>
      <charset val="1"/>
    </font>
    <font>
      <sz val="10"/>
      <color rgb="FF000000"/>
      <name val="Arial"/>
      <family val="0"/>
      <charset val="1"/>
    </font>
    <font>
      <b val="true"/>
      <sz val="11"/>
      <color rgb="FFFFFFFF"/>
      <name val="Arial"/>
      <family val="0"/>
      <charset val="1"/>
    </font>
    <font>
      <i val="true"/>
      <sz val="9"/>
      <color rgb="FF5F6B7A"/>
      <name val="Arial"/>
      <family val="0"/>
      <charset val="1"/>
    </font>
    <font>
      <b val="true"/>
      <sz val="14"/>
      <color rgb="FF0B1F3A"/>
      <name val="Arial"/>
      <family val="0"/>
      <charset val="1"/>
    </font>
    <font>
      <sz val="9"/>
      <color rgb="FF1155CC"/>
      <name val="Arial"/>
      <family val="0"/>
      <charset val="1"/>
    </font>
  </fonts>
  <fills count="7">
    <fill>
      <patternFill patternType="none"/>
    </fill>
    <fill>
      <patternFill patternType="gray125"/>
    </fill>
    <fill>
      <patternFill patternType="solid">
        <fgColor rgb="FFEAF8FD"/>
        <bgColor rgb="FFF2F4F7"/>
      </patternFill>
    </fill>
    <fill>
      <patternFill patternType="solid">
        <fgColor rgb="FF0B1F3A"/>
        <bgColor rgb="FF003300"/>
      </patternFill>
    </fill>
    <fill>
      <patternFill patternType="solid">
        <fgColor rgb="FF3A4A63"/>
        <bgColor rgb="FF333399"/>
      </patternFill>
    </fill>
    <fill>
      <patternFill patternType="solid">
        <fgColor rgb="FFFFF8D9"/>
        <bgColor rgb="FFF2F4F7"/>
      </patternFill>
    </fill>
    <fill>
      <patternFill patternType="solid">
        <fgColor rgb="FFF2F4F7"/>
        <bgColor rgb="FFEAF8FD"/>
      </patternFill>
    </fill>
  </fills>
  <borders count="6">
    <border diagonalUp="false" diagonalDown="false">
      <left/>
      <right/>
      <top/>
      <bottom/>
      <diagonal/>
    </border>
    <border diagonalUp="false" diagonalDown="false">
      <left/>
      <right/>
      <top/>
      <bottom style="medium">
        <color rgb="FF00AEEF"/>
      </bottom>
      <diagonal/>
    </border>
    <border diagonalUp="false" diagonalDown="false">
      <left/>
      <right style="thin">
        <color rgb="FFFFFFFF"/>
      </right>
      <top/>
      <bottom style="medium">
        <color rgb="FF00AEEF"/>
      </bottom>
      <diagonal/>
    </border>
    <border diagonalUp="false" diagonalDown="false">
      <left style="thin">
        <color rgb="FFFFFFFF"/>
      </left>
      <right style="thin">
        <color rgb="FFFFFFFF"/>
      </right>
      <top/>
      <bottom style="medium">
        <color rgb="FF00AEEF"/>
      </bottom>
      <diagonal/>
    </border>
    <border diagonalUp="false" diagonalDown="false">
      <left style="thin">
        <color rgb="FFFFFFFF"/>
      </left>
      <right/>
      <top/>
      <bottom style="medium">
        <color rgb="FF00AEEF"/>
      </bottom>
      <diagonal/>
    </border>
    <border diagonalUp="false" diagonalDown="false">
      <left style="thin">
        <color rgb="FFD0D7E2"/>
      </left>
      <right style="thin">
        <color rgb="FFD0D7E2"/>
      </right>
      <top style="thin">
        <color rgb="FFD0D7E2"/>
      </top>
      <bottom style="thin">
        <color rgb="FFD0D7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general" vertical="center" textRotation="0" wrapText="true" indent="0" shrinkToFit="false"/>
      <protection locked="true" hidden="false"/>
    </xf>
    <xf numFmtId="164" fontId="10" fillId="3" borderId="2" xfId="0" applyFont="true" applyBorder="true" applyAlignment="true" applyProtection="false">
      <alignment horizontal="center" vertical="center" textRotation="0" wrapText="true" indent="0" shrinkToFit="false"/>
      <protection locked="true" hidden="false"/>
    </xf>
    <xf numFmtId="164" fontId="10" fillId="3" borderId="3" xfId="0" applyFont="true" applyBorder="true" applyAlignment="true" applyProtection="false">
      <alignment horizontal="center" vertical="center" textRotation="0" wrapText="true" indent="0" shrinkToFit="false"/>
      <protection locked="true" hidden="false"/>
    </xf>
    <xf numFmtId="164" fontId="10" fillId="3" borderId="4" xfId="0" applyFont="true" applyBorder="true" applyAlignment="true" applyProtection="false">
      <alignment horizontal="center" vertical="center" textRotation="0" wrapText="true" indent="0" shrinkToFit="false"/>
      <protection locked="true" hidden="false"/>
    </xf>
    <xf numFmtId="164" fontId="10" fillId="4" borderId="3" xfId="0" applyFont="true" applyBorder="true" applyAlignment="true" applyProtection="false">
      <alignment horizontal="center" vertical="center" textRotation="0" wrapText="true" indent="0" shrinkToFit="false"/>
      <protection locked="true" hidden="false"/>
    </xf>
    <xf numFmtId="164" fontId="11" fillId="2" borderId="5" xfId="0" applyFont="true" applyBorder="true" applyAlignment="true" applyProtection="false">
      <alignment horizontal="center" vertical="center" textRotation="0" wrapText="true" indent="0" shrinkToFit="false"/>
      <protection locked="true" hidden="false"/>
    </xf>
    <xf numFmtId="165" fontId="12" fillId="5" borderId="5" xfId="0" applyFont="true" applyBorder="true" applyAlignment="true" applyProtection="false">
      <alignment horizontal="general" vertical="top" textRotation="0" wrapText="true" indent="0" shrinkToFit="false"/>
      <protection locked="true" hidden="false"/>
    </xf>
    <xf numFmtId="164" fontId="12" fillId="5" borderId="5" xfId="0" applyFont="true" applyBorder="true" applyAlignment="true" applyProtection="false">
      <alignment horizontal="general" vertical="top" textRotation="0" wrapText="true" indent="0" shrinkToFit="false"/>
      <protection locked="true" hidden="false"/>
    </xf>
    <xf numFmtId="166" fontId="12" fillId="5" borderId="5" xfId="0" applyFont="true" applyBorder="true" applyAlignment="true" applyProtection="false">
      <alignment horizontal="general" vertical="top" textRotation="0" wrapText="true" indent="0" shrinkToFit="false"/>
      <protection locked="true" hidden="false"/>
    </xf>
    <xf numFmtId="167" fontId="13" fillId="6" borderId="5" xfId="0" applyFont="true" applyBorder="true" applyAlignment="true" applyProtection="false">
      <alignment horizontal="general" vertical="top" textRotation="0" wrapText="true" indent="0" shrinkToFit="false"/>
      <protection locked="true" hidden="false"/>
    </xf>
    <xf numFmtId="168" fontId="13" fillId="6" borderId="5" xfId="0" applyFont="true" applyBorder="true" applyAlignment="true" applyProtection="false">
      <alignment horizontal="general" vertical="top" textRotation="0" wrapText="true" indent="0" shrinkToFit="false"/>
      <protection locked="true" hidden="false"/>
    </xf>
    <xf numFmtId="169" fontId="13" fillId="6" borderId="5"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general" vertical="center" textRotation="0" wrapText="true" indent="0" shrinkToFit="false"/>
      <protection locked="true" hidden="false"/>
    </xf>
    <xf numFmtId="170" fontId="17" fillId="0" borderId="5" xfId="0" applyFont="true" applyBorder="true" applyAlignment="true" applyProtection="false">
      <alignment horizontal="right" vertical="center" textRotation="0" wrapText="false" indent="0" shrinkToFit="false"/>
      <protection locked="true" hidden="false"/>
    </xf>
    <xf numFmtId="164" fontId="18" fillId="2" borderId="5" xfId="0" applyFont="true" applyBorder="tru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general" vertical="bottom" textRotation="0" wrapText="false" indent="0" shrinkToFit="false"/>
      <protection locked="true" hidden="false"/>
    </xf>
    <xf numFmtId="167" fontId="13" fillId="0" borderId="5" xfId="0" applyFont="true" applyBorder="true" applyAlignment="true" applyProtection="false">
      <alignment horizontal="general" vertical="bottom" textRotation="0" wrapText="false" indent="0" shrinkToFit="false"/>
      <protection locked="true" hidden="false"/>
    </xf>
    <xf numFmtId="168" fontId="0" fillId="0" borderId="5" xfId="0" applyFont="false" applyBorder="true" applyAlignment="true" applyProtection="false">
      <alignment horizontal="general" vertical="bottom" textRotation="0" wrapText="false" indent="0" shrinkToFit="false"/>
      <protection locked="true" hidden="false"/>
    </xf>
    <xf numFmtId="168" fontId="17" fillId="0" borderId="5" xfId="0" applyFont="true" applyBorder="true" applyAlignment="true" applyProtection="false">
      <alignment horizontal="right" vertical="center" textRotation="0" wrapText="false" indent="0" shrinkToFit="false"/>
      <protection locked="true" hidden="false"/>
    </xf>
    <xf numFmtId="166" fontId="17" fillId="0" borderId="5" xfId="0" applyFont="true" applyBorder="true" applyAlignment="true" applyProtection="false">
      <alignment horizontal="right" vertical="center" textRotation="0" wrapText="false" indent="0" shrinkToFit="false"/>
      <protection locked="true" hidden="false"/>
    </xf>
    <xf numFmtId="171" fontId="17" fillId="0" borderId="5" xfId="0" applyFont="true" applyBorder="true" applyAlignment="true" applyProtection="false">
      <alignment horizontal="right" vertical="center" textRotation="0" wrapText="false" indent="0" shrinkToFit="false"/>
      <protection locked="true" hidden="false"/>
    </xf>
    <xf numFmtId="172" fontId="17" fillId="0" borderId="5" xfId="0" applyFont="true" applyBorder="true" applyAlignment="true" applyProtection="false">
      <alignment horizontal="right" vertical="center" textRotation="0" wrapText="false" indent="0" shrinkToFit="false"/>
      <protection locked="true" hidden="false"/>
    </xf>
    <xf numFmtId="169" fontId="0" fillId="0" borderId="5" xfId="0" applyFont="fals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6" fillId="3"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73" fontId="21" fillId="0" borderId="5"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center" textRotation="0" wrapText="true" indent="0" shrinkToFit="false"/>
      <protection locked="true" hidden="false"/>
    </xf>
    <xf numFmtId="168" fontId="21" fillId="0" borderId="5" xfId="0" applyFont="true" applyBorder="true" applyAlignment="true" applyProtection="false">
      <alignment horizontal="general" vertical="bottom" textRotation="0" wrapText="false" indent="0" shrinkToFit="false"/>
      <protection locked="true" hidden="false"/>
    </xf>
    <xf numFmtId="173" fontId="23" fillId="0" borderId="5" xfId="0" applyFont="true" applyBorder="true" applyAlignment="true" applyProtection="false">
      <alignment horizontal="general" vertical="bottom" textRotation="0" wrapText="false" indent="0" shrinkToFit="false"/>
      <protection locked="true" hidden="false"/>
    </xf>
    <xf numFmtId="164" fontId="18" fillId="0" borderId="5" xfId="0" applyFont="true" applyBorder="true" applyAlignment="true" applyProtection="false">
      <alignment horizontal="general" vertical="center" textRotation="0" wrapText="true" indent="0" shrinkToFit="false"/>
      <protection locked="true" hidden="false"/>
    </xf>
    <xf numFmtId="173" fontId="17" fillId="0" borderId="5" xfId="0" applyFont="true" applyBorder="true" applyAlignment="true" applyProtection="false">
      <alignment horizontal="general" vertical="bottom" textRotation="0" wrapText="false" indent="0" shrinkToFit="false"/>
      <protection locked="true" hidden="false"/>
    </xf>
    <xf numFmtId="166" fontId="21" fillId="0" borderId="5" xfId="0" applyFont="true" applyBorder="true" applyAlignment="true" applyProtection="false">
      <alignment horizontal="general" vertical="bottom" textRotation="0" wrapText="false" indent="0" shrinkToFit="false"/>
      <protection locked="true" hidden="false"/>
    </xf>
    <xf numFmtId="174" fontId="17" fillId="0" borderId="5" xfId="0" applyFont="true" applyBorder="true" applyAlignment="true" applyProtection="false">
      <alignment horizontal="general" vertical="bottom" textRotation="0" wrapText="false" indent="0" shrinkToFit="false"/>
      <protection locked="true" hidden="false"/>
    </xf>
    <xf numFmtId="175" fontId="17" fillId="0" borderId="5" xfId="0" applyFont="true" applyBorder="true" applyAlignment="true" applyProtection="false">
      <alignment horizontal="general" vertical="bottom" textRotation="0" wrapText="false" indent="0" shrinkToFit="false"/>
      <protection locked="true" hidden="false"/>
    </xf>
    <xf numFmtId="174" fontId="23" fillId="0" borderId="5" xfId="0" applyFont="true" applyBorder="true" applyAlignment="true" applyProtection="false">
      <alignment horizontal="general" vertical="bottom" textRotation="0" wrapText="false" indent="0" shrinkToFit="false"/>
      <protection locked="true" hidden="false"/>
    </xf>
    <xf numFmtId="176" fontId="21" fillId="0" borderId="5" xfId="0" applyFont="true" applyBorder="true" applyAlignment="true" applyProtection="false">
      <alignment horizontal="general" vertical="bottom" textRotation="0" wrapText="false" indent="0" shrinkToFit="false"/>
      <protection locked="true" hidden="false"/>
    </xf>
    <xf numFmtId="177" fontId="23" fillId="0" borderId="5" xfId="0" applyFont="true" applyBorder="true" applyAlignment="true" applyProtection="false">
      <alignment horizontal="general" vertical="bottom" textRotation="0" wrapText="false" indent="0" shrinkToFit="false"/>
      <protection locked="true" hidden="false"/>
    </xf>
    <xf numFmtId="168" fontId="23" fillId="0" borderId="5" xfId="0" applyFont="true" applyBorder="true" applyAlignment="true" applyProtection="false">
      <alignment horizontal="general" vertical="bottom" textRotation="0" wrapText="false" indent="0" shrinkToFit="false"/>
      <protection locked="true" hidden="false"/>
    </xf>
    <xf numFmtId="166" fontId="17" fillId="0" borderId="5" xfId="0" applyFont="true" applyBorder="true" applyAlignment="true" applyProtection="false">
      <alignment horizontal="general" vertical="bottom" textRotation="0" wrapText="false" indent="0" shrinkToFit="false"/>
      <protection locked="true" hidden="false"/>
    </xf>
    <xf numFmtId="170" fontId="21" fillId="0" borderId="5" xfId="0" applyFont="true" applyBorder="true" applyAlignment="true" applyProtection="false">
      <alignment horizontal="general" vertical="bottom" textRotation="0" wrapText="false" indent="0" shrinkToFit="false"/>
      <protection locked="true" hidden="false"/>
    </xf>
    <xf numFmtId="172" fontId="23" fillId="0" borderId="5" xfId="0" applyFont="true" applyBorder="true" applyAlignment="true" applyProtection="false">
      <alignment horizontal="general" vertical="bottom" textRotation="0" wrapText="false" indent="0" shrinkToFit="false"/>
      <protection locked="true" hidden="false"/>
    </xf>
    <xf numFmtId="178" fontId="23" fillId="0" borderId="5" xfId="0" applyFont="true" applyBorder="true" applyAlignment="true" applyProtection="false">
      <alignment horizontal="general" vertical="bottom" textRotation="0" wrapText="false" indent="0" shrinkToFit="false"/>
      <protection locked="true" hidden="false"/>
    </xf>
    <xf numFmtId="177" fontId="21" fillId="0" borderId="5" xfId="0" applyFont="true" applyBorder="true" applyAlignment="true" applyProtection="false">
      <alignment horizontal="general" vertical="bottom" textRotation="0" wrapText="false" indent="0" shrinkToFit="false"/>
      <protection locked="true" hidden="false"/>
    </xf>
    <xf numFmtId="179" fontId="23" fillId="0" borderId="5" xfId="0" applyFont="true" applyBorder="true" applyAlignment="true" applyProtection="false">
      <alignment horizontal="general" vertical="bottom" textRotation="0" wrapText="false" indent="0" shrinkToFit="false"/>
      <protection locked="true" hidden="false"/>
    </xf>
    <xf numFmtId="166" fontId="23" fillId="0" borderId="5" xfId="0" applyFont="true" applyBorder="true" applyAlignment="true" applyProtection="false">
      <alignment horizontal="general" vertical="bottom" textRotation="0" wrapText="false" indent="0" shrinkToFit="false"/>
      <protection locked="true" hidden="false"/>
    </xf>
    <xf numFmtId="171" fontId="21" fillId="0" borderId="5" xfId="0" applyFont="true" applyBorder="true" applyAlignment="true" applyProtection="false">
      <alignment horizontal="general" vertical="bottom" textRotation="0" wrapText="false" indent="0" shrinkToFit="false"/>
      <protection locked="true" hidden="false"/>
    </xf>
    <xf numFmtId="179" fontId="17" fillId="0" borderId="5" xfId="0" applyFont="true" applyBorder="true" applyAlignment="true" applyProtection="false">
      <alignment horizontal="general" vertical="bottom" textRotation="0" wrapText="false" indent="0" shrinkToFit="false"/>
      <protection locked="true" hidden="false"/>
    </xf>
    <xf numFmtId="180" fontId="23" fillId="0" borderId="5" xfId="0" applyFont="true" applyBorder="true" applyAlignment="true" applyProtection="false">
      <alignment horizontal="general" vertical="bottom" textRotation="0" wrapText="false" indent="0" shrinkToFit="false"/>
      <protection locked="true" hidden="false"/>
    </xf>
    <xf numFmtId="164" fontId="24" fillId="3"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24"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4" fontId="25" fillId="0" borderId="0" xfId="0" applyFont="true" applyBorder="false" applyAlignment="true" applyProtection="false">
      <alignment horizontal="general" vertical="center" textRotation="0" wrapText="tru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27"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B1F3A"/>
          <bgColor rgb="FF000000"/>
        </patternFill>
      </fill>
    </dxf>
    <dxf>
      <fill>
        <patternFill patternType="solid">
          <fgColor rgb="FFEAF8FD"/>
          <bgColor rgb="FF000000"/>
        </patternFill>
      </fill>
    </dxf>
    <dxf>
      <fill>
        <patternFill patternType="solid">
          <fgColor rgb="FFFFFFFF"/>
          <bgColor rgb="FF000000"/>
        </patternFill>
      </fill>
    </dxf>
    <dxf>
      <fill>
        <patternFill patternType="solid">
          <fgColor rgb="FFFFF8D9"/>
          <bgColor rgb="FF000000"/>
        </patternFill>
      </fill>
    </dxf>
    <dxf>
      <fill>
        <patternFill patternType="solid">
          <fgColor rgb="FF3A4A63"/>
          <bgColor rgb="FF000000"/>
        </patternFill>
      </fill>
    </dxf>
    <dxf>
      <fill>
        <patternFill patternType="solid">
          <fgColor rgb="FFF2F4F7"/>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D9"/>
      <rgbColor rgb="FFEAF8FD"/>
      <rgbColor rgb="FF660066"/>
      <rgbColor rgb="FFFF8080"/>
      <rgbColor rgb="FF1155CC"/>
      <rgbColor rgb="FFD0D7E2"/>
      <rgbColor rgb="FF000080"/>
      <rgbColor rgb="FFFF00FF"/>
      <rgbColor rgb="FFFFFF00"/>
      <rgbColor rgb="FF00FFFF"/>
      <rgbColor rgb="FF800080"/>
      <rgbColor rgb="FF800000"/>
      <rgbColor rgb="FF008080"/>
      <rgbColor rgb="FF0000FF"/>
      <rgbColor rgb="FF00BAF2"/>
      <rgbColor rgb="FFF2F4F7"/>
      <rgbColor rgb="FFCCFFCC"/>
      <rgbColor rgb="FFFFFF99"/>
      <rgbColor rgb="FF99CCFF"/>
      <rgbColor rgb="FFFF99CC"/>
      <rgbColor rgb="FFCC99FF"/>
      <rgbColor rgb="FFFFCC99"/>
      <rgbColor rgb="FF3366FF"/>
      <rgbColor rgb="FF00AEEF"/>
      <rgbColor rgb="FF99CC00"/>
      <rgbColor rgb="FFFFCC00"/>
      <rgbColor rgb="FFFF9900"/>
      <rgbColor rgb="FFFF6600"/>
      <rgbColor rgb="FF5F6B7A"/>
      <rgbColor rgb="FF969696"/>
      <rgbColor rgb="FF0B1F3A"/>
      <rgbColor rgb="FF339966"/>
      <rgbColor rgb="FF003300"/>
      <rgbColor rgb="FF333300"/>
      <rgbColor rgb="FF993300"/>
      <rgbColor rgb="FF993366"/>
      <rgbColor rgb="FF333399"/>
      <rgbColor rgb="FF3A4A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VOCCollectionTable" displayName="VOCCollectionTable" ref="A4:L54" headerRowCount="1" totalsRowCount="0" totalsRowShown="0">
  <autoFilter ref="A4:L54"/>
  <tableColumns count="12">
    <tableColumn id="1" name="VOC ID"/>
    <tableColumn id="2" name="Date"/>
    <tableColumn id="3" name="Respondent type"/>
    <tableColumn id="4" name="City / area"/>
    <tableColumn id="5" name="Profile / category"/>
    <tableColumn id="6" name="UPI apps used &#10;(you can mention multiple apps if used for different purposes/occasions)"/>
    <tableColumn id="7" name="Primary UPI app used"/>
    <tableColumn id="8" name="Why was it chosen? (exact words)"/>
    <tableColumn id="9" name="When or why is Paytm used? Or not used if switched from Paytm?"/>
    <tableColumn id="10" name="Need, barrier or motivation to switch (derived from the conversation, not a direct question - maybe a feature, campaign, perception etc.)"/>
    <tableColumn id="11" name="Opportunity / idea"/>
    <tableColumn id="12" name="Key quote"/>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Relationship Id="rId4"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20"/>
  </cols>
  <sheetData>
    <row r="1" customFormat="false" ht="27.75" hidden="false" customHeight="true" outlineLevel="0" collapsed="false">
      <c r="B1" s="2" t="s">
        <v>0</v>
      </c>
    </row>
    <row r="2" customFormat="false" ht="15" hidden="false" customHeight="true" outlineLevel="0" collapsed="false">
      <c r="B2" s="3" t="s">
        <v>1</v>
      </c>
    </row>
    <row r="3" customFormat="false" ht="15" hidden="false" customHeight="true" outlineLevel="0" collapsed="false">
      <c r="B3" s="4"/>
    </row>
    <row r="4" customFormat="false" ht="15" hidden="false" customHeight="true" outlineLevel="0" collapsed="false">
      <c r="B4" s="5" t="s">
        <v>2</v>
      </c>
    </row>
    <row r="5" customFormat="false" ht="15" hidden="false" customHeight="true" outlineLevel="0" collapsed="false">
      <c r="B5" s="6" t="s">
        <v>3</v>
      </c>
    </row>
    <row r="6" customFormat="false" ht="23.25" hidden="false" customHeight="true" outlineLevel="0" collapsed="false">
      <c r="B6" s="6" t="s">
        <v>4</v>
      </c>
    </row>
    <row r="7" customFormat="false" ht="23.25" hidden="false" customHeight="true" outlineLevel="0" collapsed="false">
      <c r="B7" s="6" t="s">
        <v>5</v>
      </c>
    </row>
    <row r="8" customFormat="false" ht="15" hidden="false" customHeight="true" outlineLevel="0" collapsed="false">
      <c r="B8" s="6" t="s">
        <v>6</v>
      </c>
    </row>
    <row r="9" customFormat="false" ht="15" hidden="false" customHeight="true" outlineLevel="0" collapsed="false">
      <c r="B9" s="6" t="s">
        <v>7</v>
      </c>
    </row>
    <row r="10" customFormat="false" ht="15" hidden="false" customHeight="true" outlineLevel="0" collapsed="false">
      <c r="B10" s="4"/>
    </row>
    <row r="11" customFormat="false" ht="15" hidden="false" customHeight="true" outlineLevel="0" collapsed="false">
      <c r="B11" s="5" t="s">
        <v>8</v>
      </c>
    </row>
    <row r="12" customFormat="false" ht="23.25" hidden="false" customHeight="true" outlineLevel="0" collapsed="false">
      <c r="B12" s="6" t="s">
        <v>9</v>
      </c>
    </row>
    <row r="13" customFormat="false" ht="15" hidden="false" customHeight="true" outlineLevel="0" collapsed="false">
      <c r="B13" s="4"/>
    </row>
    <row r="14" customFormat="false" ht="15" hidden="false" customHeight="true" outlineLevel="0" collapsed="false">
      <c r="B14" s="5" t="s">
        <v>10</v>
      </c>
    </row>
    <row r="15" customFormat="false" ht="23.25" hidden="false" customHeight="true" outlineLevel="0" collapsed="false">
      <c r="B15" s="6" t="s">
        <v>11</v>
      </c>
    </row>
    <row r="16" customFormat="false" ht="15" hidden="false" customHeight="true" outlineLevel="0" collapsed="false">
      <c r="B16" s="4"/>
    </row>
    <row r="17" customFormat="false" ht="15" hidden="false" customHeight="true" outlineLevel="0" collapsed="false">
      <c r="B17" s="5"/>
    </row>
    <row r="18" customFormat="false" ht="23.25" hidden="false" customHeight="true" outlineLevel="0" collapsed="false">
      <c r="B18" s="6"/>
    </row>
    <row r="19" customFormat="false" ht="15" hidden="false" customHeight="true" outlineLevel="0" collapsed="false">
      <c r="B19"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AF2"/>
    <pageSetUpPr fitToPage="false"/>
  </sheetPr>
  <dimension ref="A1:AL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83203125" defaultRowHeight="13.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16"/>
    <col collapsed="false" customWidth="true" hidden="false" outlineLevel="0" max="4" min="4" style="1" width="18"/>
    <col collapsed="false" customWidth="true" hidden="false" outlineLevel="0" max="5" min="5" style="1" width="21"/>
    <col collapsed="false" customWidth="true" hidden="false" outlineLevel="0" max="7" min="6" style="1" width="31"/>
    <col collapsed="false" customWidth="true" hidden="false" outlineLevel="0" max="8" min="8" style="1" width="34"/>
    <col collapsed="false" customWidth="true" hidden="false" outlineLevel="0" max="9" min="9" style="1" width="29"/>
    <col collapsed="false" customWidth="true" hidden="false" outlineLevel="0" max="11" min="10" style="1" width="30"/>
    <col collapsed="false" customWidth="true" hidden="false" outlineLevel="0" max="12" min="12" style="1" width="32"/>
    <col collapsed="false" customWidth="true" hidden="false" outlineLevel="0" max="13" min="13" style="1" width="14"/>
    <col collapsed="false" customWidth="true" hidden="false" outlineLevel="0" max="14" min="14" style="1" width="16"/>
    <col collapsed="false" customWidth="true" hidden="false" outlineLevel="0" max="15" min="15" style="1" width="18"/>
    <col collapsed="false" customWidth="true" hidden="false" outlineLevel="0" max="16" min="16" style="1" width="16"/>
    <col collapsed="false" customWidth="true" hidden="false" outlineLevel="0" max="17" min="17" style="1" width="14"/>
    <col collapsed="false" customWidth="true" hidden="false" outlineLevel="0" max="18" min="18" style="1" width="20"/>
    <col collapsed="false" customWidth="true" hidden="false" outlineLevel="0" max="19" min="19" style="1" width="10"/>
    <col collapsed="false" customWidth="true" hidden="false" outlineLevel="0" max="20" min="20" style="1" width="11"/>
    <col collapsed="false" customWidth="true" hidden="false" outlineLevel="0" max="21" min="21" style="1" width="15"/>
    <col collapsed="false" customWidth="true" hidden="false" outlineLevel="0" max="22" min="22" style="1" width="20"/>
    <col collapsed="false" customWidth="true" hidden="false" outlineLevel="0" max="23" min="23" style="1" width="10"/>
    <col collapsed="false" customWidth="true" hidden="false" outlineLevel="0" max="24" min="24" style="1" width="11"/>
    <col collapsed="false" customWidth="true" hidden="false" outlineLevel="0" max="25" min="25" style="1" width="13"/>
    <col collapsed="false" customWidth="true" hidden="false" outlineLevel="0" max="26" min="26" style="1" width="20"/>
    <col collapsed="false" customWidth="true" hidden="false" outlineLevel="0" max="27" min="27" style="1" width="10"/>
    <col collapsed="false" customWidth="true" hidden="false" outlineLevel="0" max="28" min="28" style="1" width="11"/>
    <col collapsed="false" customWidth="true" hidden="false" outlineLevel="0" max="29" min="29" style="1" width="13"/>
    <col collapsed="false" customWidth="true" hidden="false" outlineLevel="0" max="30" min="30" style="1" width="24"/>
    <col collapsed="false" customWidth="true" hidden="false" outlineLevel="0" max="31" min="31" style="1" width="11"/>
    <col collapsed="false" customWidth="true" hidden="false" outlineLevel="0" max="32" min="32" style="1" width="14"/>
    <col collapsed="false" customWidth="true" hidden="false" outlineLevel="0" max="33" min="33" style="1" width="12"/>
    <col collapsed="false" customWidth="true" hidden="false" outlineLevel="0" max="34" min="34" style="1" width="16"/>
    <col collapsed="false" customWidth="true" hidden="false" outlineLevel="0" max="36" min="35" style="1" width="14"/>
    <col collapsed="false" customWidth="true" hidden="false" outlineLevel="0" max="37" min="37" style="1" width="11"/>
    <col collapsed="false" customWidth="true" hidden="false" outlineLevel="0" max="38" min="38" style="1" width="14"/>
  </cols>
  <sheetData>
    <row r="1" customFormat="false" ht="30" hidden="false" customHeight="true" outlineLevel="0" collapsed="false">
      <c r="A1" s="7" t="s">
        <v>12</v>
      </c>
      <c r="B1" s="8"/>
      <c r="C1" s="8"/>
      <c r="D1" s="8"/>
      <c r="E1" s="8"/>
      <c r="F1" s="8"/>
      <c r="G1" s="8"/>
      <c r="H1" s="8"/>
      <c r="I1" s="8"/>
      <c r="J1" s="8"/>
      <c r="K1" s="8"/>
      <c r="L1" s="8"/>
    </row>
    <row r="2" customFormat="false" ht="15.75" hidden="false" customHeight="true" outlineLevel="0" collapsed="false">
      <c r="A2" s="9" t="s">
        <v>13</v>
      </c>
      <c r="B2" s="9"/>
      <c r="C2" s="9"/>
      <c r="D2" s="9"/>
      <c r="E2" s="9"/>
      <c r="F2" s="9"/>
      <c r="G2" s="9"/>
      <c r="H2" s="9"/>
      <c r="I2" s="9"/>
      <c r="J2" s="9"/>
      <c r="K2" s="9"/>
      <c r="L2" s="9"/>
    </row>
    <row r="4" customFormat="false" ht="78" hidden="false" customHeight="true" outlineLevel="0" collapsed="false">
      <c r="A4" s="10" t="s">
        <v>14</v>
      </c>
      <c r="B4" s="11" t="s">
        <v>15</v>
      </c>
      <c r="C4" s="11" t="s">
        <v>16</v>
      </c>
      <c r="D4" s="11" t="s">
        <v>17</v>
      </c>
      <c r="E4" s="11" t="s">
        <v>18</v>
      </c>
      <c r="F4" s="11" t="s">
        <v>19</v>
      </c>
      <c r="G4" s="11" t="s">
        <v>20</v>
      </c>
      <c r="H4" s="11" t="s">
        <v>21</v>
      </c>
      <c r="I4" s="11" t="s">
        <v>22</v>
      </c>
      <c r="J4" s="11" t="s">
        <v>23</v>
      </c>
      <c r="K4" s="11" t="s">
        <v>24</v>
      </c>
      <c r="L4" s="12" t="s">
        <v>25</v>
      </c>
      <c r="M4" s="11" t="s">
        <v>26</v>
      </c>
      <c r="N4" s="11" t="s">
        <v>27</v>
      </c>
      <c r="O4" s="11" t="s">
        <v>28</v>
      </c>
      <c r="P4" s="11" t="s">
        <v>29</v>
      </c>
      <c r="Q4" s="11" t="s">
        <v>30</v>
      </c>
      <c r="R4" s="11" t="s">
        <v>31</v>
      </c>
      <c r="S4" s="11" t="s">
        <v>32</v>
      </c>
      <c r="T4" s="11" t="s">
        <v>33</v>
      </c>
      <c r="U4" s="11" t="s">
        <v>34</v>
      </c>
      <c r="V4" s="11" t="s">
        <v>35</v>
      </c>
      <c r="W4" s="11" t="s">
        <v>36</v>
      </c>
      <c r="X4" s="11" t="s">
        <v>37</v>
      </c>
      <c r="Y4" s="11" t="s">
        <v>38</v>
      </c>
      <c r="Z4" s="11" t="s">
        <v>39</v>
      </c>
      <c r="AA4" s="11" t="s">
        <v>40</v>
      </c>
      <c r="AB4" s="11" t="s">
        <v>41</v>
      </c>
      <c r="AC4" s="11" t="s">
        <v>42</v>
      </c>
      <c r="AD4" s="11" t="s">
        <v>43</v>
      </c>
      <c r="AE4" s="11" t="s">
        <v>44</v>
      </c>
      <c r="AF4" s="11" t="s">
        <v>45</v>
      </c>
      <c r="AG4" s="11" t="s">
        <v>46</v>
      </c>
      <c r="AH4" s="11" t="s">
        <v>47</v>
      </c>
      <c r="AI4" s="13" t="s">
        <v>48</v>
      </c>
      <c r="AJ4" s="13" t="s">
        <v>49</v>
      </c>
      <c r="AK4" s="13" t="s">
        <v>50</v>
      </c>
      <c r="AL4" s="13" t="s">
        <v>51</v>
      </c>
    </row>
    <row r="5" customFormat="false" ht="39.75" hidden="false" customHeight="true" outlineLevel="0" collapsed="false">
      <c r="A5" s="14" t="s">
        <v>52</v>
      </c>
      <c r="B5" s="15" t="n">
        <v>46289</v>
      </c>
      <c r="C5" s="16" t="s">
        <v>53</v>
      </c>
      <c r="D5" s="16" t="s">
        <v>54</v>
      </c>
      <c r="E5" s="16" t="s">
        <v>55</v>
      </c>
      <c r="F5" s="16" t="s">
        <v>56</v>
      </c>
      <c r="G5" s="16" t="s">
        <v>57</v>
      </c>
      <c r="H5" s="16" t="s">
        <v>58</v>
      </c>
      <c r="I5" s="16" t="s">
        <v>59</v>
      </c>
      <c r="J5" s="16" t="s">
        <v>60</v>
      </c>
      <c r="K5" s="16" t="s">
        <v>61</v>
      </c>
      <c r="L5" s="16" t="s">
        <v>58</v>
      </c>
      <c r="M5" s="16" t="s">
        <v>62</v>
      </c>
      <c r="N5" s="16" t="s">
        <v>63</v>
      </c>
      <c r="O5" s="16" t="s">
        <v>64</v>
      </c>
      <c r="P5" s="16" t="s">
        <v>65</v>
      </c>
      <c r="Q5" s="17" t="n">
        <v>300000</v>
      </c>
      <c r="R5" s="16" t="s">
        <v>66</v>
      </c>
      <c r="S5" s="16" t="n">
        <v>4</v>
      </c>
      <c r="T5" s="17" t="n">
        <v>40000</v>
      </c>
      <c r="U5" s="16" t="s">
        <v>57</v>
      </c>
      <c r="V5" s="16" t="s">
        <v>67</v>
      </c>
      <c r="W5" s="16" t="n">
        <v>1</v>
      </c>
      <c r="X5" s="17" t="n">
        <v>12000</v>
      </c>
      <c r="Y5" s="16" t="s">
        <v>68</v>
      </c>
      <c r="Z5" s="16"/>
      <c r="AA5" s="16"/>
      <c r="AB5" s="17"/>
      <c r="AC5" s="16"/>
      <c r="AD5" s="16" t="s">
        <v>60</v>
      </c>
      <c r="AE5" s="16" t="s">
        <v>69</v>
      </c>
      <c r="AF5" s="16" t="n">
        <v>5</v>
      </c>
      <c r="AG5" s="16" t="s">
        <v>70</v>
      </c>
      <c r="AH5" s="16" t="s">
        <v>70</v>
      </c>
      <c r="AI5" s="18" t="n">
        <f aca="false">IF(AND(U5&lt;&gt;"",U5&lt;&gt;"Cash",U5&lt;&gt;"Bank transfer (NEFT/RTGS)"),N(S5)*N(T5),0)+IF(AND(Y5&lt;&gt;"",Y5&lt;&gt;"Cash",Y5&lt;&gt;"Bank transfer (NEFT/RTGS)"),N(W5)*N(X5),0)+IF(AND(AC5&lt;&gt;"",AC5&lt;&gt;"Cash",AC5&lt;&gt;"Bank transfer (NEFT/RTGS)"),N(AA5)*N(AB5),0)</f>
        <v>160000</v>
      </c>
      <c r="AJ5" s="18" t="n">
        <f aca="false">IF(U5="Paytm",N(S5)*N(T5),0)+IF(Y5="Paytm",N(W5)*N(X5),0)+IF(AC5="Paytm",N(AA5)*N(AB5),0)</f>
        <v>0</v>
      </c>
      <c r="AK5" s="19" t="n">
        <f aca="false">IF(AI5&gt;0,AJ5/AI5,"")</f>
        <v>0</v>
      </c>
      <c r="AL5" s="20" t="n">
        <f aca="false">IF(AND(LEFT(O5,5)="Paytm",(N(S5)*N(T5)+N(W5)*N(X5)+N(AA5)*N(AB5))&gt;0,AJ5&lt;0.5*(N(S5)*N(T5)+N(W5)*N(X5)+N(AA5)*N(AB5))),1,0)</f>
        <v>1</v>
      </c>
    </row>
    <row r="6" customFormat="false" ht="39.75" hidden="false" customHeight="true" outlineLevel="0" collapsed="false">
      <c r="A6" s="14" t="s">
        <v>71</v>
      </c>
      <c r="B6" s="15" t="n">
        <v>46289</v>
      </c>
      <c r="C6" s="16" t="s">
        <v>53</v>
      </c>
      <c r="D6" s="16" t="s">
        <v>54</v>
      </c>
      <c r="E6" s="16" t="s">
        <v>72</v>
      </c>
      <c r="F6" s="16" t="s">
        <v>73</v>
      </c>
      <c r="G6" s="16" t="s">
        <v>74</v>
      </c>
      <c r="H6" s="16" t="s">
        <v>75</v>
      </c>
      <c r="I6" s="16" t="s">
        <v>76</v>
      </c>
      <c r="J6" s="16" t="s">
        <v>77</v>
      </c>
      <c r="K6" s="16" t="s">
        <v>78</v>
      </c>
      <c r="L6" s="16" t="s">
        <v>75</v>
      </c>
      <c r="M6" s="16" t="s">
        <v>62</v>
      </c>
      <c r="N6" s="16" t="s">
        <v>63</v>
      </c>
      <c r="O6" s="16" t="s">
        <v>79</v>
      </c>
      <c r="P6" s="16" t="s">
        <v>65</v>
      </c>
      <c r="Q6" s="17" t="n">
        <v>500000</v>
      </c>
      <c r="R6" s="16" t="s">
        <v>66</v>
      </c>
      <c r="S6" s="16" t="n">
        <v>8</v>
      </c>
      <c r="T6" s="17" t="n">
        <v>45000</v>
      </c>
      <c r="U6" s="16" t="s">
        <v>74</v>
      </c>
      <c r="V6" s="16" t="s">
        <v>80</v>
      </c>
      <c r="W6" s="16" t="n">
        <v>1</v>
      </c>
      <c r="X6" s="17" t="n">
        <v>15000</v>
      </c>
      <c r="Y6" s="16" t="s">
        <v>81</v>
      </c>
      <c r="Z6" s="16"/>
      <c r="AA6" s="16"/>
      <c r="AB6" s="17"/>
      <c r="AC6" s="16"/>
      <c r="AD6" s="16" t="s">
        <v>82</v>
      </c>
      <c r="AE6" s="16" t="s">
        <v>70</v>
      </c>
      <c r="AF6" s="16" t="n">
        <v>4</v>
      </c>
      <c r="AG6" s="16" t="s">
        <v>70</v>
      </c>
      <c r="AH6" s="16" t="s">
        <v>83</v>
      </c>
      <c r="AI6" s="18" t="n">
        <f aca="false">IF(AND(U6&lt;&gt;"",U6&lt;&gt;"Cash",U6&lt;&gt;"Bank transfer (NEFT/RTGS)"),N(S6)*N(T6),0)+IF(AND(Y6&lt;&gt;"",Y6&lt;&gt;"Cash",Y6&lt;&gt;"Bank transfer (NEFT/RTGS)"),N(W6)*N(X6),0)+IF(AND(AC6&lt;&gt;"",AC6&lt;&gt;"Cash",AC6&lt;&gt;"Bank transfer (NEFT/RTGS)"),N(AA6)*N(AB6),0)</f>
        <v>360000</v>
      </c>
      <c r="AJ6" s="18" t="n">
        <f aca="false">IF(U6="Paytm",N(S6)*N(T6),0)+IF(Y6="Paytm",N(W6)*N(X6),0)+IF(AC6="Paytm",N(AA6)*N(AB6),0)</f>
        <v>0</v>
      </c>
      <c r="AK6" s="19" t="n">
        <f aca="false">IF(AI6&gt;0,AJ6/AI6,"")</f>
        <v>0</v>
      </c>
      <c r="AL6" s="20" t="n">
        <f aca="false">IF(AND(LEFT(O6,5)="Paytm",(N(S6)*N(T6)+N(W6)*N(X6)+N(AA6)*N(AB6))&gt;0,AJ6&lt;0.5*(N(S6)*N(T6)+N(W6)*N(X6)+N(AA6)*N(AB6))),1,0)</f>
        <v>1</v>
      </c>
    </row>
    <row r="7" customFormat="false" ht="39.75" hidden="false" customHeight="true" outlineLevel="0" collapsed="false">
      <c r="A7" s="14" t="s">
        <v>84</v>
      </c>
      <c r="B7" s="15" t="n">
        <v>46289</v>
      </c>
      <c r="C7" s="16" t="s">
        <v>53</v>
      </c>
      <c r="D7" s="16" t="s">
        <v>85</v>
      </c>
      <c r="E7" s="16" t="s">
        <v>86</v>
      </c>
      <c r="F7" s="16" t="s">
        <v>87</v>
      </c>
      <c r="G7" s="16" t="s">
        <v>57</v>
      </c>
      <c r="H7" s="16" t="s">
        <v>88</v>
      </c>
      <c r="I7" s="16" t="s">
        <v>59</v>
      </c>
      <c r="J7" s="16" t="s">
        <v>89</v>
      </c>
      <c r="K7" s="16" t="s">
        <v>90</v>
      </c>
      <c r="L7" s="16" t="s">
        <v>88</v>
      </c>
      <c r="M7" s="16" t="s">
        <v>62</v>
      </c>
      <c r="N7" s="16"/>
      <c r="O7" s="16" t="s">
        <v>64</v>
      </c>
      <c r="P7" s="16" t="s">
        <v>91</v>
      </c>
      <c r="Q7" s="17" t="n">
        <v>150000</v>
      </c>
      <c r="R7" s="16" t="s">
        <v>92</v>
      </c>
      <c r="S7" s="16" t="n">
        <v>30</v>
      </c>
      <c r="T7" s="17" t="n">
        <v>2000</v>
      </c>
      <c r="U7" s="16" t="s">
        <v>68</v>
      </c>
      <c r="V7" s="16" t="s">
        <v>92</v>
      </c>
      <c r="W7" s="16" t="n">
        <v>30</v>
      </c>
      <c r="X7" s="17" t="n">
        <v>1500</v>
      </c>
      <c r="Y7" s="16" t="s">
        <v>57</v>
      </c>
      <c r="Z7" s="16"/>
      <c r="AA7" s="16"/>
      <c r="AB7" s="17"/>
      <c r="AC7" s="16"/>
      <c r="AD7" s="16" t="s">
        <v>89</v>
      </c>
      <c r="AE7" s="16" t="s">
        <v>69</v>
      </c>
      <c r="AF7" s="16" t="n">
        <v>4</v>
      </c>
      <c r="AG7" s="16" t="s">
        <v>70</v>
      </c>
      <c r="AH7" s="16" t="s">
        <v>70</v>
      </c>
      <c r="AI7" s="18" t="n">
        <f aca="false">IF(AND(U7&lt;&gt;"",U7&lt;&gt;"Cash",U7&lt;&gt;"Bank transfer (NEFT/RTGS)"),N(S7)*N(T7),0)+IF(AND(Y7&lt;&gt;"",Y7&lt;&gt;"Cash",Y7&lt;&gt;"Bank transfer (NEFT/RTGS)"),N(W7)*N(X7),0)+IF(AND(AC7&lt;&gt;"",AC7&lt;&gt;"Cash",AC7&lt;&gt;"Bank transfer (NEFT/RTGS)"),N(AA7)*N(AB7),0)</f>
        <v>45000</v>
      </c>
      <c r="AJ7" s="18" t="n">
        <f aca="false">IF(U7="Paytm",N(S7)*N(T7),0)+IF(Y7="Paytm",N(W7)*N(X7),0)+IF(AC7="Paytm",N(AA7)*N(AB7),0)</f>
        <v>0</v>
      </c>
      <c r="AK7" s="19" t="n">
        <f aca="false">IF(AI7&gt;0,AJ7/AI7,"")</f>
        <v>0</v>
      </c>
      <c r="AL7" s="20" t="n">
        <f aca="false">IF(AND(LEFT(O7,5)="Paytm",(N(S7)*N(T7)+N(W7)*N(X7)+N(AA7)*N(AB7))&gt;0,AJ7&lt;0.5*(N(S7)*N(T7)+N(W7)*N(X7)+N(AA7)*N(AB7))),1,0)</f>
        <v>1</v>
      </c>
    </row>
    <row r="8" customFormat="false" ht="39.75" hidden="false" customHeight="true" outlineLevel="0" collapsed="false">
      <c r="A8" s="14" t="s">
        <v>93</v>
      </c>
      <c r="B8" s="15" t="n">
        <v>46289</v>
      </c>
      <c r="C8" s="16" t="s">
        <v>53</v>
      </c>
      <c r="D8" s="16" t="s">
        <v>94</v>
      </c>
      <c r="E8" s="16" t="s">
        <v>95</v>
      </c>
      <c r="F8" s="16" t="s">
        <v>96</v>
      </c>
      <c r="G8" s="16" t="s">
        <v>57</v>
      </c>
      <c r="H8" s="16" t="s">
        <v>97</v>
      </c>
      <c r="I8" s="16" t="s">
        <v>98</v>
      </c>
      <c r="J8" s="16" t="s">
        <v>60</v>
      </c>
      <c r="K8" s="16" t="s">
        <v>99</v>
      </c>
      <c r="L8" s="16" t="s">
        <v>97</v>
      </c>
      <c r="M8" s="16" t="s">
        <v>62</v>
      </c>
      <c r="N8" s="16" t="s">
        <v>63</v>
      </c>
      <c r="O8" s="16" t="s">
        <v>100</v>
      </c>
      <c r="P8" s="16" t="s">
        <v>65</v>
      </c>
      <c r="Q8" s="17" t="n">
        <v>80000</v>
      </c>
      <c r="R8" s="16" t="s">
        <v>66</v>
      </c>
      <c r="S8" s="16" t="n">
        <v>30</v>
      </c>
      <c r="T8" s="17" t="n">
        <v>2000</v>
      </c>
      <c r="U8" s="16" t="s">
        <v>57</v>
      </c>
      <c r="V8" s="16" t="s">
        <v>92</v>
      </c>
      <c r="W8" s="16" t="n">
        <v>4</v>
      </c>
      <c r="X8" s="17" t="n">
        <v>5000</v>
      </c>
      <c r="Y8" s="16" t="s">
        <v>74</v>
      </c>
      <c r="Z8" s="16"/>
      <c r="AA8" s="16"/>
      <c r="AB8" s="17"/>
      <c r="AC8" s="16"/>
      <c r="AD8" s="16" t="s">
        <v>60</v>
      </c>
      <c r="AE8" s="16" t="s">
        <v>69</v>
      </c>
      <c r="AF8" s="16" t="n">
        <v>3</v>
      </c>
      <c r="AG8" s="16" t="s">
        <v>101</v>
      </c>
      <c r="AH8" s="16" t="s">
        <v>69</v>
      </c>
      <c r="AI8" s="18" t="n">
        <f aca="false">IF(AND(U8&lt;&gt;"",U8&lt;&gt;"Cash",U8&lt;&gt;"Bank transfer (NEFT/RTGS)"),N(S8)*N(T8),0)+IF(AND(Y8&lt;&gt;"",Y8&lt;&gt;"Cash",Y8&lt;&gt;"Bank transfer (NEFT/RTGS)"),N(W8)*N(X8),0)+IF(AND(AC8&lt;&gt;"",AC8&lt;&gt;"Cash",AC8&lt;&gt;"Bank transfer (NEFT/RTGS)"),N(AA8)*N(AB8),0)</f>
        <v>80000</v>
      </c>
      <c r="AJ8" s="18" t="n">
        <f aca="false">IF(U8="Paytm",N(S8)*N(T8),0)+IF(Y8="Paytm",N(W8)*N(X8),0)+IF(AC8="Paytm",N(AA8)*N(AB8),0)</f>
        <v>0</v>
      </c>
      <c r="AK8" s="19" t="n">
        <f aca="false">IF(AI8&gt;0,AJ8/AI8,"")</f>
        <v>0</v>
      </c>
      <c r="AL8" s="20" t="n">
        <f aca="false">IF(AND(LEFT(O8,5)="Paytm",(N(S8)*N(T8)+N(W8)*N(X8)+N(AA8)*N(AB8))&gt;0,AJ8&lt;0.5*(N(S8)*N(T8)+N(W8)*N(X8)+N(AA8)*N(AB8))),1,0)</f>
        <v>0</v>
      </c>
    </row>
    <row r="9" customFormat="false" ht="39.75" hidden="false" customHeight="true" outlineLevel="0" collapsed="false">
      <c r="A9" s="14" t="s">
        <v>102</v>
      </c>
      <c r="B9" s="15" t="n">
        <v>46289</v>
      </c>
      <c r="C9" s="16" t="s">
        <v>53</v>
      </c>
      <c r="D9" s="16" t="s">
        <v>103</v>
      </c>
      <c r="E9" s="16" t="s">
        <v>104</v>
      </c>
      <c r="F9" s="16" t="s">
        <v>105</v>
      </c>
      <c r="G9" s="16" t="s">
        <v>74</v>
      </c>
      <c r="H9" s="16" t="s">
        <v>106</v>
      </c>
      <c r="I9" s="16" t="s">
        <v>59</v>
      </c>
      <c r="J9" s="16" t="s">
        <v>107</v>
      </c>
      <c r="K9" s="16" t="s">
        <v>108</v>
      </c>
      <c r="L9" s="16" t="s">
        <v>106</v>
      </c>
      <c r="M9" s="16" t="s">
        <v>62</v>
      </c>
      <c r="N9" s="16"/>
      <c r="O9" s="16" t="s">
        <v>64</v>
      </c>
      <c r="P9" s="16" t="s">
        <v>109</v>
      </c>
      <c r="Q9" s="17" t="n">
        <v>250000</v>
      </c>
      <c r="R9" s="16" t="s">
        <v>66</v>
      </c>
      <c r="S9" s="16" t="n">
        <v>5</v>
      </c>
      <c r="T9" s="17" t="n">
        <v>30000</v>
      </c>
      <c r="U9" s="16" t="s">
        <v>74</v>
      </c>
      <c r="V9" s="16" t="s">
        <v>80</v>
      </c>
      <c r="W9" s="16" t="n">
        <v>1</v>
      </c>
      <c r="X9" s="17" t="n">
        <v>20000</v>
      </c>
      <c r="Y9" s="16" t="s">
        <v>57</v>
      </c>
      <c r="Z9" s="16"/>
      <c r="AA9" s="16"/>
      <c r="AB9" s="17"/>
      <c r="AC9" s="16"/>
      <c r="AD9" s="16" t="s">
        <v>110</v>
      </c>
      <c r="AE9" s="16" t="s">
        <v>69</v>
      </c>
      <c r="AF9" s="16" t="n">
        <v>5</v>
      </c>
      <c r="AG9" s="16" t="s">
        <v>70</v>
      </c>
      <c r="AH9" s="16" t="s">
        <v>83</v>
      </c>
      <c r="AI9" s="18" t="n">
        <f aca="false">IF(AND(U9&lt;&gt;"",U9&lt;&gt;"Cash",U9&lt;&gt;"Bank transfer (NEFT/RTGS)"),N(S9)*N(T9),0)+IF(AND(Y9&lt;&gt;"",Y9&lt;&gt;"Cash",Y9&lt;&gt;"Bank transfer (NEFT/RTGS)"),N(W9)*N(X9),0)+IF(AND(AC9&lt;&gt;"",AC9&lt;&gt;"Cash",AC9&lt;&gt;"Bank transfer (NEFT/RTGS)"),N(AA9)*N(AB9),0)</f>
        <v>170000</v>
      </c>
      <c r="AJ9" s="18" t="n">
        <f aca="false">IF(U9="Paytm",N(S9)*N(T9),0)+IF(Y9="Paytm",N(W9)*N(X9),0)+IF(AC9="Paytm",N(AA9)*N(AB9),0)</f>
        <v>0</v>
      </c>
      <c r="AK9" s="19" t="n">
        <f aca="false">IF(AI9&gt;0,AJ9/AI9,"")</f>
        <v>0</v>
      </c>
      <c r="AL9" s="20" t="n">
        <f aca="false">IF(AND(LEFT(O9,5)="Paytm",(N(S9)*N(T9)+N(W9)*N(X9)+N(AA9)*N(AB9))&gt;0,AJ9&lt;0.5*(N(S9)*N(T9)+N(W9)*N(X9)+N(AA9)*N(AB9))),1,0)</f>
        <v>1</v>
      </c>
    </row>
    <row r="10" customFormat="false" ht="39.75" hidden="false" customHeight="true" outlineLevel="0" collapsed="false">
      <c r="A10" s="14" t="s">
        <v>111</v>
      </c>
      <c r="B10" s="15" t="n">
        <v>46289</v>
      </c>
      <c r="C10" s="16" t="s">
        <v>53</v>
      </c>
      <c r="D10" s="16" t="s">
        <v>112</v>
      </c>
      <c r="E10" s="16" t="s">
        <v>113</v>
      </c>
      <c r="F10" s="16" t="s">
        <v>114</v>
      </c>
      <c r="G10" s="16" t="s">
        <v>115</v>
      </c>
      <c r="H10" s="16" t="s">
        <v>116</v>
      </c>
      <c r="I10" s="16" t="s">
        <v>117</v>
      </c>
      <c r="J10" s="16" t="s">
        <v>118</v>
      </c>
      <c r="K10" s="16" t="s">
        <v>119</v>
      </c>
      <c r="L10" s="16" t="s">
        <v>116</v>
      </c>
      <c r="M10" s="16" t="s">
        <v>62</v>
      </c>
      <c r="N10" s="16" t="s">
        <v>63</v>
      </c>
      <c r="O10" s="16" t="s">
        <v>120</v>
      </c>
      <c r="P10" s="16" t="s">
        <v>65</v>
      </c>
      <c r="Q10" s="17" t="n">
        <v>400000</v>
      </c>
      <c r="R10" s="16" t="s">
        <v>66</v>
      </c>
      <c r="S10" s="16" t="n">
        <v>3</v>
      </c>
      <c r="T10" s="17" t="n">
        <v>80000</v>
      </c>
      <c r="U10" s="16" t="s">
        <v>81</v>
      </c>
      <c r="V10" s="16" t="s">
        <v>67</v>
      </c>
      <c r="W10" s="16" t="n">
        <v>1</v>
      </c>
      <c r="X10" s="17" t="n">
        <v>15000</v>
      </c>
      <c r="Y10" s="16" t="s">
        <v>68</v>
      </c>
      <c r="Z10" s="16"/>
      <c r="AA10" s="16"/>
      <c r="AB10" s="17"/>
      <c r="AC10" s="16"/>
      <c r="AD10" s="16" t="s">
        <v>121</v>
      </c>
      <c r="AE10" s="16" t="s">
        <v>70</v>
      </c>
      <c r="AF10" s="16" t="n">
        <v>4</v>
      </c>
      <c r="AG10" s="16" t="s">
        <v>70</v>
      </c>
      <c r="AH10" s="16" t="s">
        <v>70</v>
      </c>
      <c r="AI10" s="18" t="n">
        <f aca="false">IF(AND(U10&lt;&gt;"",U10&lt;&gt;"Cash",U10&lt;&gt;"Bank transfer (NEFT/RTGS)"),N(S10)*N(T10),0)+IF(AND(Y10&lt;&gt;"",Y10&lt;&gt;"Cash",Y10&lt;&gt;"Bank transfer (NEFT/RTGS)"),N(W10)*N(X10),0)+IF(AND(AC10&lt;&gt;"",AC10&lt;&gt;"Cash",AC10&lt;&gt;"Bank transfer (NEFT/RTGS)"),N(AA10)*N(AB10),0)</f>
        <v>0</v>
      </c>
      <c r="AJ10" s="18" t="n">
        <f aca="false">IF(U10="Paytm",N(S10)*N(T10),0)+IF(Y10="Paytm",N(W10)*N(X10),0)+IF(AC10="Paytm",N(AA10)*N(AB10),0)</f>
        <v>0</v>
      </c>
      <c r="AK10" s="19" t="str">
        <f aca="false">IF(AI10&gt;0,AJ10/AI10,"")</f>
        <v/>
      </c>
      <c r="AL10" s="20" t="n">
        <f aca="false">IF(AND(LEFT(O10,5)="Paytm",(N(S10)*N(T10)+N(W10)*N(X10)+N(AA10)*N(AB10))&gt;0,AJ10&lt;0.5*(N(S10)*N(T10)+N(W10)*N(X10)+N(AA10)*N(AB10))),1,0)</f>
        <v>0</v>
      </c>
    </row>
    <row r="11" customFormat="false" ht="39.75" hidden="false" customHeight="true" outlineLevel="0" collapsed="false">
      <c r="A11" s="14" t="s">
        <v>122</v>
      </c>
      <c r="B11" s="15" t="n">
        <v>46289</v>
      </c>
      <c r="C11" s="16" t="s">
        <v>53</v>
      </c>
      <c r="D11" s="16" t="s">
        <v>123</v>
      </c>
      <c r="E11" s="16" t="s">
        <v>86</v>
      </c>
      <c r="F11" s="16" t="s">
        <v>124</v>
      </c>
      <c r="G11" s="16" t="s">
        <v>57</v>
      </c>
      <c r="H11" s="16"/>
      <c r="I11" s="16" t="s">
        <v>59</v>
      </c>
      <c r="J11" s="16" t="s">
        <v>125</v>
      </c>
      <c r="K11" s="16" t="s">
        <v>126</v>
      </c>
      <c r="L11" s="16" t="s">
        <v>127</v>
      </c>
      <c r="M11" s="16" t="s">
        <v>62</v>
      </c>
      <c r="N11" s="16"/>
      <c r="O11" s="16" t="s">
        <v>64</v>
      </c>
      <c r="P11" s="16" t="s">
        <v>128</v>
      </c>
      <c r="Q11" s="17" t="n">
        <v>200000</v>
      </c>
      <c r="R11" s="16" t="s">
        <v>92</v>
      </c>
      <c r="S11" s="16" t="n">
        <v>30</v>
      </c>
      <c r="T11" s="17" t="n">
        <v>3000</v>
      </c>
      <c r="U11" s="16" t="s">
        <v>68</v>
      </c>
      <c r="V11" s="16" t="s">
        <v>66</v>
      </c>
      <c r="W11" s="16" t="n">
        <v>4</v>
      </c>
      <c r="X11" s="17" t="n">
        <v>25000</v>
      </c>
      <c r="Y11" s="16" t="s">
        <v>57</v>
      </c>
      <c r="Z11" s="16"/>
      <c r="AA11" s="16"/>
      <c r="AB11" s="17"/>
      <c r="AC11" s="16"/>
      <c r="AD11" s="16" t="s">
        <v>129</v>
      </c>
      <c r="AE11" s="16" t="s">
        <v>69</v>
      </c>
      <c r="AF11" s="16" t="n">
        <v>4</v>
      </c>
      <c r="AG11" s="16" t="s">
        <v>101</v>
      </c>
      <c r="AH11" s="16" t="s">
        <v>70</v>
      </c>
      <c r="AI11" s="18" t="n">
        <f aca="false">IF(AND(U11&lt;&gt;"",U11&lt;&gt;"Cash",U11&lt;&gt;"Bank transfer (NEFT/RTGS)"),N(S11)*N(T11),0)+IF(AND(Y11&lt;&gt;"",Y11&lt;&gt;"Cash",Y11&lt;&gt;"Bank transfer (NEFT/RTGS)"),N(W11)*N(X11),0)+IF(AND(AC11&lt;&gt;"",AC11&lt;&gt;"Cash",AC11&lt;&gt;"Bank transfer (NEFT/RTGS)"),N(AA11)*N(AB11),0)</f>
        <v>100000</v>
      </c>
      <c r="AJ11" s="18" t="n">
        <f aca="false">IF(U11="Paytm",N(S11)*N(T11),0)+IF(Y11="Paytm",N(W11)*N(X11),0)+IF(AC11="Paytm",N(AA11)*N(AB11),0)</f>
        <v>0</v>
      </c>
      <c r="AK11" s="19" t="n">
        <f aca="false">IF(AI11&gt;0,AJ11/AI11,"")</f>
        <v>0</v>
      </c>
      <c r="AL11" s="20" t="n">
        <f aca="false">IF(AND(LEFT(O11,5)="Paytm",(N(S11)*N(T11)+N(W11)*N(X11)+N(AA11)*N(AB11))&gt;0,AJ11&lt;0.5*(N(S11)*N(T11)+N(W11)*N(X11)+N(AA11)*N(AB11))),1,0)</f>
        <v>1</v>
      </c>
    </row>
    <row r="12" customFormat="false" ht="39.75" hidden="false" customHeight="true" outlineLevel="0" collapsed="false">
      <c r="A12" s="14" t="s">
        <v>130</v>
      </c>
      <c r="B12" s="15" t="n">
        <v>46289</v>
      </c>
      <c r="C12" s="16" t="s">
        <v>53</v>
      </c>
      <c r="D12" s="16" t="s">
        <v>131</v>
      </c>
      <c r="E12" s="16" t="s">
        <v>132</v>
      </c>
      <c r="F12" s="16" t="s">
        <v>105</v>
      </c>
      <c r="G12" s="16" t="s">
        <v>74</v>
      </c>
      <c r="H12" s="16" t="s">
        <v>133</v>
      </c>
      <c r="I12" s="16" t="s">
        <v>59</v>
      </c>
      <c r="J12" s="16" t="s">
        <v>60</v>
      </c>
      <c r="K12" s="16" t="s">
        <v>61</v>
      </c>
      <c r="L12" s="16" t="s">
        <v>133</v>
      </c>
      <c r="M12" s="16" t="s">
        <v>62</v>
      </c>
      <c r="N12" s="16" t="s">
        <v>63</v>
      </c>
      <c r="O12" s="16" t="s">
        <v>64</v>
      </c>
      <c r="P12" s="16" t="s">
        <v>65</v>
      </c>
      <c r="Q12" s="17" t="n">
        <v>100000</v>
      </c>
      <c r="R12" s="16" t="s">
        <v>66</v>
      </c>
      <c r="S12" s="16" t="n">
        <v>2</v>
      </c>
      <c r="T12" s="17" t="n">
        <v>40000</v>
      </c>
      <c r="U12" s="16" t="s">
        <v>74</v>
      </c>
      <c r="V12" s="16" t="s">
        <v>80</v>
      </c>
      <c r="W12" s="16" t="n">
        <v>1</v>
      </c>
      <c r="X12" s="17" t="n">
        <v>12000</v>
      </c>
      <c r="Y12" s="16" t="s">
        <v>57</v>
      </c>
      <c r="Z12" s="16"/>
      <c r="AA12" s="16"/>
      <c r="AB12" s="17"/>
      <c r="AC12" s="16"/>
      <c r="AD12" s="16" t="s">
        <v>60</v>
      </c>
      <c r="AE12" s="16" t="s">
        <v>69</v>
      </c>
      <c r="AF12" s="16" t="n">
        <v>5</v>
      </c>
      <c r="AG12" s="16" t="s">
        <v>70</v>
      </c>
      <c r="AH12" s="16" t="s">
        <v>69</v>
      </c>
      <c r="AI12" s="18" t="n">
        <f aca="false">IF(AND(U12&lt;&gt;"",U12&lt;&gt;"Cash",U12&lt;&gt;"Bank transfer (NEFT/RTGS)"),N(S12)*N(T12),0)+IF(AND(Y12&lt;&gt;"",Y12&lt;&gt;"Cash",Y12&lt;&gt;"Bank transfer (NEFT/RTGS)"),N(W12)*N(X12),0)+IF(AND(AC12&lt;&gt;"",AC12&lt;&gt;"Cash",AC12&lt;&gt;"Bank transfer (NEFT/RTGS)"),N(AA12)*N(AB12),0)</f>
        <v>92000</v>
      </c>
      <c r="AJ12" s="18" t="n">
        <f aca="false">IF(U12="Paytm",N(S12)*N(T12),0)+IF(Y12="Paytm",N(W12)*N(X12),0)+IF(AC12="Paytm",N(AA12)*N(AB12),0)</f>
        <v>0</v>
      </c>
      <c r="AK12" s="19" t="n">
        <f aca="false">IF(AI12&gt;0,AJ12/AI12,"")</f>
        <v>0</v>
      </c>
      <c r="AL12" s="20" t="n">
        <f aca="false">IF(AND(LEFT(O12,5)="Paytm",(N(S12)*N(T12)+N(W12)*N(X12)+N(AA12)*N(AB12))&gt;0,AJ12&lt;0.5*(N(S12)*N(T12)+N(W12)*N(X12)+N(AA12)*N(AB12))),1,0)</f>
        <v>1</v>
      </c>
    </row>
    <row r="13" customFormat="false" ht="39.75" hidden="false" customHeight="true" outlineLevel="0" collapsed="false">
      <c r="A13" s="14" t="s">
        <v>134</v>
      </c>
      <c r="B13" s="15" t="n">
        <v>46289</v>
      </c>
      <c r="C13" s="16" t="s">
        <v>53</v>
      </c>
      <c r="D13" s="16" t="s">
        <v>103</v>
      </c>
      <c r="E13" s="16" t="s">
        <v>135</v>
      </c>
      <c r="F13" s="16" t="s">
        <v>136</v>
      </c>
      <c r="G13" s="16" t="s">
        <v>57</v>
      </c>
      <c r="H13" s="16" t="s">
        <v>137</v>
      </c>
      <c r="I13" s="16" t="s">
        <v>138</v>
      </c>
      <c r="J13" s="16" t="s">
        <v>77</v>
      </c>
      <c r="K13" s="16" t="s">
        <v>139</v>
      </c>
      <c r="L13" s="16" t="s">
        <v>137</v>
      </c>
      <c r="M13" s="16" t="s">
        <v>62</v>
      </c>
      <c r="N13" s="16" t="s">
        <v>63</v>
      </c>
      <c r="O13" s="16" t="s">
        <v>140</v>
      </c>
      <c r="P13" s="16" t="s">
        <v>65</v>
      </c>
      <c r="Q13" s="17" t="n">
        <v>350000</v>
      </c>
      <c r="R13" s="16" t="s">
        <v>66</v>
      </c>
      <c r="S13" s="16" t="n">
        <v>4</v>
      </c>
      <c r="T13" s="17" t="n">
        <v>50000</v>
      </c>
      <c r="U13" s="16" t="s">
        <v>81</v>
      </c>
      <c r="V13" s="16" t="s">
        <v>66</v>
      </c>
      <c r="W13" s="16" t="n">
        <v>2</v>
      </c>
      <c r="X13" s="17" t="n">
        <v>75000</v>
      </c>
      <c r="Y13" s="16" t="s">
        <v>57</v>
      </c>
      <c r="Z13" s="16"/>
      <c r="AA13" s="16"/>
      <c r="AB13" s="17"/>
      <c r="AC13" s="16"/>
      <c r="AD13" s="16" t="s">
        <v>82</v>
      </c>
      <c r="AE13" s="16" t="s">
        <v>70</v>
      </c>
      <c r="AF13" s="16" t="n">
        <v>3</v>
      </c>
      <c r="AG13" s="16" t="s">
        <v>101</v>
      </c>
      <c r="AH13" s="16" t="s">
        <v>70</v>
      </c>
      <c r="AI13" s="18" t="n">
        <f aca="false">IF(AND(U13&lt;&gt;"",U13&lt;&gt;"Cash",U13&lt;&gt;"Bank transfer (NEFT/RTGS)"),N(S13)*N(T13),0)+IF(AND(Y13&lt;&gt;"",Y13&lt;&gt;"Cash",Y13&lt;&gt;"Bank transfer (NEFT/RTGS)"),N(W13)*N(X13),0)+IF(AND(AC13&lt;&gt;"",AC13&lt;&gt;"Cash",AC13&lt;&gt;"Bank transfer (NEFT/RTGS)"),N(AA13)*N(AB13),0)</f>
        <v>150000</v>
      </c>
      <c r="AJ13" s="18" t="n">
        <f aca="false">IF(U13="Paytm",N(S13)*N(T13),0)+IF(Y13="Paytm",N(W13)*N(X13),0)+IF(AC13="Paytm",N(AA13)*N(AB13),0)</f>
        <v>0</v>
      </c>
      <c r="AK13" s="19" t="n">
        <f aca="false">IF(AI13&gt;0,AJ13/AI13,"")</f>
        <v>0</v>
      </c>
      <c r="AL13" s="20" t="n">
        <f aca="false">IF(AND(LEFT(O13,5)="Paytm",(N(S13)*N(T13)+N(W13)*N(X13)+N(AA13)*N(AB13))&gt;0,AJ13&lt;0.5*(N(S13)*N(T13)+N(W13)*N(X13)+N(AA13)*N(AB13))),1,0)</f>
        <v>0</v>
      </c>
    </row>
    <row r="14" customFormat="false" ht="39.75" hidden="false" customHeight="true" outlineLevel="0" collapsed="false">
      <c r="A14" s="14" t="s">
        <v>141</v>
      </c>
      <c r="B14" s="15" t="n">
        <v>46289</v>
      </c>
      <c r="C14" s="16" t="s">
        <v>53</v>
      </c>
      <c r="D14" s="16" t="s">
        <v>54</v>
      </c>
      <c r="E14" s="16" t="s">
        <v>142</v>
      </c>
      <c r="F14" s="16" t="s">
        <v>56</v>
      </c>
      <c r="G14" s="16" t="s">
        <v>57</v>
      </c>
      <c r="H14" s="16"/>
      <c r="I14" s="16" t="s">
        <v>59</v>
      </c>
      <c r="J14" s="16" t="s">
        <v>143</v>
      </c>
      <c r="K14" s="16" t="s">
        <v>144</v>
      </c>
      <c r="L14" s="16" t="s">
        <v>145</v>
      </c>
      <c r="M14" s="16" t="s">
        <v>62</v>
      </c>
      <c r="N14" s="16" t="s">
        <v>63</v>
      </c>
      <c r="O14" s="16" t="s">
        <v>64</v>
      </c>
      <c r="P14" s="16" t="s">
        <v>65</v>
      </c>
      <c r="Q14" s="17" t="n">
        <v>200000</v>
      </c>
      <c r="R14" s="16" t="s">
        <v>66</v>
      </c>
      <c r="S14" s="16" t="n">
        <v>2</v>
      </c>
      <c r="T14" s="17" t="n">
        <v>60000</v>
      </c>
      <c r="U14" s="16" t="s">
        <v>57</v>
      </c>
      <c r="V14" s="16" t="s">
        <v>67</v>
      </c>
      <c r="W14" s="16" t="n">
        <v>1</v>
      </c>
      <c r="X14" s="17" t="n">
        <v>10000</v>
      </c>
      <c r="Y14" s="16" t="s">
        <v>68</v>
      </c>
      <c r="Z14" s="16"/>
      <c r="AA14" s="16"/>
      <c r="AB14" s="17"/>
      <c r="AC14" s="16"/>
      <c r="AD14" s="16" t="s">
        <v>146</v>
      </c>
      <c r="AE14" s="16" t="s">
        <v>69</v>
      </c>
      <c r="AF14" s="16" t="n">
        <v>5</v>
      </c>
      <c r="AG14" s="16" t="s">
        <v>70</v>
      </c>
      <c r="AH14" s="16" t="s">
        <v>83</v>
      </c>
      <c r="AI14" s="18" t="n">
        <f aca="false">IF(AND(U14&lt;&gt;"",U14&lt;&gt;"Cash",U14&lt;&gt;"Bank transfer (NEFT/RTGS)"),N(S14)*N(T14),0)+IF(AND(Y14&lt;&gt;"",Y14&lt;&gt;"Cash",Y14&lt;&gt;"Bank transfer (NEFT/RTGS)"),N(W14)*N(X14),0)+IF(AND(AC14&lt;&gt;"",AC14&lt;&gt;"Cash",AC14&lt;&gt;"Bank transfer (NEFT/RTGS)"),N(AA14)*N(AB14),0)</f>
        <v>120000</v>
      </c>
      <c r="AJ14" s="18" t="n">
        <f aca="false">IF(U14="Paytm",N(S14)*N(T14),0)+IF(Y14="Paytm",N(W14)*N(X14),0)+IF(AC14="Paytm",N(AA14)*N(AB14),0)</f>
        <v>0</v>
      </c>
      <c r="AK14" s="19" t="n">
        <f aca="false">IF(AI14&gt;0,AJ14/AI14,"")</f>
        <v>0</v>
      </c>
      <c r="AL14" s="20" t="n">
        <f aca="false">IF(AND(LEFT(O14,5)="Paytm",(N(S14)*N(T14)+N(W14)*N(X14)+N(AA14)*N(AB14))&gt;0,AJ14&lt;0.5*(N(S14)*N(T14)+N(W14)*N(X14)+N(AA14)*N(AB14))),1,0)</f>
        <v>1</v>
      </c>
    </row>
    <row r="15" customFormat="false" ht="39.75" hidden="false" customHeight="true" outlineLevel="0" collapsed="false">
      <c r="A15" s="14" t="s">
        <v>147</v>
      </c>
      <c r="B15" s="15" t="n">
        <v>46289</v>
      </c>
      <c r="C15" s="16" t="s">
        <v>53</v>
      </c>
      <c r="D15" s="16" t="s">
        <v>94</v>
      </c>
      <c r="E15" s="16" t="s">
        <v>55</v>
      </c>
      <c r="F15" s="16" t="s">
        <v>96</v>
      </c>
      <c r="G15" s="16" t="s">
        <v>57</v>
      </c>
      <c r="H15" s="16" t="s">
        <v>148</v>
      </c>
      <c r="I15" s="16" t="s">
        <v>149</v>
      </c>
      <c r="J15" s="16" t="s">
        <v>77</v>
      </c>
      <c r="K15" s="16" t="s">
        <v>139</v>
      </c>
      <c r="L15" s="16" t="s">
        <v>148</v>
      </c>
      <c r="M15" s="16" t="s">
        <v>150</v>
      </c>
      <c r="N15" s="16" t="s">
        <v>63</v>
      </c>
      <c r="O15" s="16" t="s">
        <v>79</v>
      </c>
      <c r="P15" s="16" t="s">
        <v>65</v>
      </c>
      <c r="Q15" s="17" t="n">
        <v>150000</v>
      </c>
      <c r="R15" s="16" t="s">
        <v>66</v>
      </c>
      <c r="S15" s="16" t="n">
        <v>6</v>
      </c>
      <c r="T15" s="17" t="n">
        <v>15000</v>
      </c>
      <c r="U15" s="16" t="s">
        <v>57</v>
      </c>
      <c r="V15" s="16" t="s">
        <v>92</v>
      </c>
      <c r="W15" s="16" t="n">
        <v>30</v>
      </c>
      <c r="X15" s="17" t="n">
        <v>800</v>
      </c>
      <c r="Y15" s="16" t="s">
        <v>74</v>
      </c>
      <c r="Z15" s="16"/>
      <c r="AA15" s="16"/>
      <c r="AB15" s="17"/>
      <c r="AC15" s="16"/>
      <c r="AD15" s="16" t="s">
        <v>82</v>
      </c>
      <c r="AE15" s="16" t="s">
        <v>69</v>
      </c>
      <c r="AF15" s="16" t="n">
        <v>4</v>
      </c>
      <c r="AG15" s="16" t="s">
        <v>101</v>
      </c>
      <c r="AH15" s="16" t="s">
        <v>69</v>
      </c>
      <c r="AI15" s="18" t="n">
        <f aca="false">IF(AND(U15&lt;&gt;"",U15&lt;&gt;"Cash",U15&lt;&gt;"Bank transfer (NEFT/RTGS)"),N(S15)*N(T15),0)+IF(AND(Y15&lt;&gt;"",Y15&lt;&gt;"Cash",Y15&lt;&gt;"Bank transfer (NEFT/RTGS)"),N(W15)*N(X15),0)+IF(AND(AC15&lt;&gt;"",AC15&lt;&gt;"Cash",AC15&lt;&gt;"Bank transfer (NEFT/RTGS)"),N(AA15)*N(AB15),0)</f>
        <v>114000</v>
      </c>
      <c r="AJ15" s="18" t="n">
        <f aca="false">IF(U15="Paytm",N(S15)*N(T15),0)+IF(Y15="Paytm",N(W15)*N(X15),0)+IF(AC15="Paytm",N(AA15)*N(AB15),0)</f>
        <v>0</v>
      </c>
      <c r="AK15" s="19" t="n">
        <f aca="false">IF(AI15&gt;0,AJ15/AI15,"")</f>
        <v>0</v>
      </c>
      <c r="AL15" s="20" t="n">
        <f aca="false">IF(AND(LEFT(O15,5)="Paytm",(N(S15)*N(T15)+N(W15)*N(X15)+N(AA15)*N(AB15))&gt;0,AJ15&lt;0.5*(N(S15)*N(T15)+N(W15)*N(X15)+N(AA15)*N(AB15))),1,0)</f>
        <v>1</v>
      </c>
    </row>
    <row r="16" customFormat="false" ht="39.75" hidden="false" customHeight="true" outlineLevel="0" collapsed="false">
      <c r="A16" s="14" t="s">
        <v>151</v>
      </c>
      <c r="B16" s="15" t="n">
        <v>46289</v>
      </c>
      <c r="C16" s="16" t="s">
        <v>53</v>
      </c>
      <c r="D16" s="16" t="s">
        <v>152</v>
      </c>
      <c r="E16" s="16" t="s">
        <v>86</v>
      </c>
      <c r="F16" s="16" t="s">
        <v>124</v>
      </c>
      <c r="G16" s="16" t="s">
        <v>57</v>
      </c>
      <c r="H16" s="16"/>
      <c r="I16" s="16" t="s">
        <v>59</v>
      </c>
      <c r="J16" s="16" t="s">
        <v>89</v>
      </c>
      <c r="K16" s="16" t="s">
        <v>90</v>
      </c>
      <c r="L16" s="16" t="s">
        <v>153</v>
      </c>
      <c r="M16" s="16" t="s">
        <v>150</v>
      </c>
      <c r="N16" s="16"/>
      <c r="O16" s="16" t="s">
        <v>64</v>
      </c>
      <c r="P16" s="16" t="s">
        <v>91</v>
      </c>
      <c r="Q16" s="17" t="n">
        <v>120000</v>
      </c>
      <c r="R16" s="16" t="s">
        <v>92</v>
      </c>
      <c r="S16" s="16" t="n">
        <v>30</v>
      </c>
      <c r="T16" s="17" t="n">
        <v>2500</v>
      </c>
      <c r="U16" s="16" t="s">
        <v>68</v>
      </c>
      <c r="V16" s="16" t="s">
        <v>66</v>
      </c>
      <c r="W16" s="16" t="n">
        <v>4</v>
      </c>
      <c r="X16" s="17" t="n">
        <v>10000</v>
      </c>
      <c r="Y16" s="16" t="s">
        <v>57</v>
      </c>
      <c r="Z16" s="16"/>
      <c r="AA16" s="16"/>
      <c r="AB16" s="17"/>
      <c r="AC16" s="16"/>
      <c r="AD16" s="16" t="s">
        <v>89</v>
      </c>
      <c r="AE16" s="16" t="s">
        <v>69</v>
      </c>
      <c r="AF16" s="16" t="n">
        <v>5</v>
      </c>
      <c r="AG16" s="16" t="s">
        <v>70</v>
      </c>
      <c r="AH16" s="16" t="s">
        <v>70</v>
      </c>
      <c r="AI16" s="18" t="n">
        <f aca="false">IF(AND(U16&lt;&gt;"",U16&lt;&gt;"Cash",U16&lt;&gt;"Bank transfer (NEFT/RTGS)"),N(S16)*N(T16),0)+IF(AND(Y16&lt;&gt;"",Y16&lt;&gt;"Cash",Y16&lt;&gt;"Bank transfer (NEFT/RTGS)"),N(W16)*N(X16),0)+IF(AND(AC16&lt;&gt;"",AC16&lt;&gt;"Cash",AC16&lt;&gt;"Bank transfer (NEFT/RTGS)"),N(AA16)*N(AB16),0)</f>
        <v>40000</v>
      </c>
      <c r="AJ16" s="18" t="n">
        <f aca="false">IF(U16="Paytm",N(S16)*N(T16),0)+IF(Y16="Paytm",N(W16)*N(X16),0)+IF(AC16="Paytm",N(AA16)*N(AB16),0)</f>
        <v>0</v>
      </c>
      <c r="AK16" s="19" t="n">
        <f aca="false">IF(AI16&gt;0,AJ16/AI16,"")</f>
        <v>0</v>
      </c>
      <c r="AL16" s="20" t="n">
        <f aca="false">IF(AND(LEFT(O16,5)="Paytm",(N(S16)*N(T16)+N(W16)*N(X16)+N(AA16)*N(AB16))&gt;0,AJ16&lt;0.5*(N(S16)*N(T16)+N(W16)*N(X16)+N(AA16)*N(AB16))),1,0)</f>
        <v>1</v>
      </c>
    </row>
    <row r="17" customFormat="false" ht="39.75" hidden="false" customHeight="true" outlineLevel="0" collapsed="false">
      <c r="A17" s="14" t="s">
        <v>154</v>
      </c>
      <c r="B17" s="15" t="n">
        <v>46289</v>
      </c>
      <c r="C17" s="16" t="s">
        <v>53</v>
      </c>
      <c r="D17" s="16" t="s">
        <v>103</v>
      </c>
      <c r="E17" s="16" t="s">
        <v>72</v>
      </c>
      <c r="F17" s="16" t="s">
        <v>155</v>
      </c>
      <c r="G17" s="16" t="s">
        <v>74</v>
      </c>
      <c r="H17" s="16" t="s">
        <v>156</v>
      </c>
      <c r="I17" s="16" t="s">
        <v>157</v>
      </c>
      <c r="J17" s="16" t="s">
        <v>60</v>
      </c>
      <c r="K17" s="16" t="s">
        <v>61</v>
      </c>
      <c r="L17" s="16" t="s">
        <v>156</v>
      </c>
      <c r="M17" s="16" t="s">
        <v>150</v>
      </c>
      <c r="N17" s="16" t="s">
        <v>63</v>
      </c>
      <c r="O17" s="16" t="s">
        <v>120</v>
      </c>
      <c r="P17" s="16" t="s">
        <v>65</v>
      </c>
      <c r="Q17" s="17" t="n">
        <v>400000</v>
      </c>
      <c r="R17" s="16" t="s">
        <v>66</v>
      </c>
      <c r="S17" s="16" t="n">
        <v>10</v>
      </c>
      <c r="T17" s="17" t="n">
        <v>30000</v>
      </c>
      <c r="U17" s="16" t="s">
        <v>74</v>
      </c>
      <c r="V17" s="16" t="s">
        <v>67</v>
      </c>
      <c r="W17" s="16" t="n">
        <v>1</v>
      </c>
      <c r="X17" s="17" t="n">
        <v>14000</v>
      </c>
      <c r="Y17" s="16" t="s">
        <v>68</v>
      </c>
      <c r="Z17" s="16"/>
      <c r="AA17" s="16"/>
      <c r="AB17" s="17"/>
      <c r="AC17" s="16"/>
      <c r="AD17" s="16" t="s">
        <v>60</v>
      </c>
      <c r="AE17" s="16" t="s">
        <v>69</v>
      </c>
      <c r="AF17" s="16" t="n">
        <v>4</v>
      </c>
      <c r="AG17" s="16" t="s">
        <v>70</v>
      </c>
      <c r="AH17" s="16" t="s">
        <v>83</v>
      </c>
      <c r="AI17" s="18" t="n">
        <f aca="false">IF(AND(U17&lt;&gt;"",U17&lt;&gt;"Cash",U17&lt;&gt;"Bank transfer (NEFT/RTGS)"),N(S17)*N(T17),0)+IF(AND(Y17&lt;&gt;"",Y17&lt;&gt;"Cash",Y17&lt;&gt;"Bank transfer (NEFT/RTGS)"),N(W17)*N(X17),0)+IF(AND(AC17&lt;&gt;"",AC17&lt;&gt;"Cash",AC17&lt;&gt;"Bank transfer (NEFT/RTGS)"),N(AA17)*N(AB17),0)</f>
        <v>300000</v>
      </c>
      <c r="AJ17" s="18" t="n">
        <f aca="false">IF(U17="Paytm",N(S17)*N(T17),0)+IF(Y17="Paytm",N(W17)*N(X17),0)+IF(AC17="Paytm",N(AA17)*N(AB17),0)</f>
        <v>0</v>
      </c>
      <c r="AK17" s="19" t="n">
        <f aca="false">IF(AI17&gt;0,AJ17/AI17,"")</f>
        <v>0</v>
      </c>
      <c r="AL17" s="20" t="n">
        <f aca="false">IF(AND(LEFT(O17,5)="Paytm",(N(S17)*N(T17)+N(W17)*N(X17)+N(AA17)*N(AB17))&gt;0,AJ17&lt;0.5*(N(S17)*N(T17)+N(W17)*N(X17)+N(AA17)*N(AB17))),1,0)</f>
        <v>0</v>
      </c>
    </row>
    <row r="18" customFormat="false" ht="39.75" hidden="false" customHeight="true" outlineLevel="0" collapsed="false">
      <c r="A18" s="14" t="s">
        <v>158</v>
      </c>
      <c r="B18" s="15" t="n">
        <v>46289</v>
      </c>
      <c r="C18" s="16" t="s">
        <v>53</v>
      </c>
      <c r="D18" s="16" t="s">
        <v>159</v>
      </c>
      <c r="E18" s="16" t="s">
        <v>104</v>
      </c>
      <c r="F18" s="16" t="s">
        <v>160</v>
      </c>
      <c r="G18" s="16" t="s">
        <v>57</v>
      </c>
      <c r="H18" s="16" t="s">
        <v>161</v>
      </c>
      <c r="I18" s="16" t="s">
        <v>162</v>
      </c>
      <c r="J18" s="16" t="s">
        <v>163</v>
      </c>
      <c r="K18" s="16" t="s">
        <v>164</v>
      </c>
      <c r="L18" s="16" t="s">
        <v>161</v>
      </c>
      <c r="M18" s="16" t="s">
        <v>150</v>
      </c>
      <c r="N18" s="16" t="s">
        <v>63</v>
      </c>
      <c r="O18" s="16" t="s">
        <v>64</v>
      </c>
      <c r="P18" s="16" t="s">
        <v>65</v>
      </c>
      <c r="Q18" s="17" t="n">
        <v>180000</v>
      </c>
      <c r="R18" s="16" t="s">
        <v>66</v>
      </c>
      <c r="S18" s="16" t="n">
        <v>5</v>
      </c>
      <c r="T18" s="17" t="n">
        <v>25000</v>
      </c>
      <c r="U18" s="16" t="s">
        <v>57</v>
      </c>
      <c r="V18" s="16" t="s">
        <v>80</v>
      </c>
      <c r="W18" s="16" t="n">
        <v>1</v>
      </c>
      <c r="X18" s="17" t="n">
        <v>15000</v>
      </c>
      <c r="Y18" s="16" t="s">
        <v>81</v>
      </c>
      <c r="Z18" s="16"/>
      <c r="AA18" s="16"/>
      <c r="AB18" s="17"/>
      <c r="AC18" s="16"/>
      <c r="AD18" s="16" t="s">
        <v>165</v>
      </c>
      <c r="AE18" s="16" t="s">
        <v>70</v>
      </c>
      <c r="AF18" s="16" t="n">
        <v>5</v>
      </c>
      <c r="AG18" s="16" t="s">
        <v>70</v>
      </c>
      <c r="AH18" s="16" t="s">
        <v>69</v>
      </c>
      <c r="AI18" s="18" t="n">
        <f aca="false">IF(AND(U18&lt;&gt;"",U18&lt;&gt;"Cash",U18&lt;&gt;"Bank transfer (NEFT/RTGS)"),N(S18)*N(T18),0)+IF(AND(Y18&lt;&gt;"",Y18&lt;&gt;"Cash",Y18&lt;&gt;"Bank transfer (NEFT/RTGS)"),N(W18)*N(X18),0)+IF(AND(AC18&lt;&gt;"",AC18&lt;&gt;"Cash",AC18&lt;&gt;"Bank transfer (NEFT/RTGS)"),N(AA18)*N(AB18),0)</f>
        <v>125000</v>
      </c>
      <c r="AJ18" s="18" t="n">
        <f aca="false">IF(U18="Paytm",N(S18)*N(T18),0)+IF(Y18="Paytm",N(W18)*N(X18),0)+IF(AC18="Paytm",N(AA18)*N(AB18),0)</f>
        <v>0</v>
      </c>
      <c r="AK18" s="19" t="n">
        <f aca="false">IF(AI18&gt;0,AJ18/AI18,"")</f>
        <v>0</v>
      </c>
      <c r="AL18" s="20" t="n">
        <f aca="false">IF(AND(LEFT(O18,5)="Paytm",(N(S18)*N(T18)+N(W18)*N(X18)+N(AA18)*N(AB18))&gt;0,AJ18&lt;0.5*(N(S18)*N(T18)+N(W18)*N(X18)+N(AA18)*N(AB18))),1,0)</f>
        <v>1</v>
      </c>
    </row>
    <row r="19" customFormat="false" ht="39.75" hidden="false" customHeight="true" outlineLevel="0" collapsed="false">
      <c r="A19" s="14" t="s">
        <v>166</v>
      </c>
      <c r="B19" s="15" t="n">
        <v>46289</v>
      </c>
      <c r="C19" s="16" t="s">
        <v>53</v>
      </c>
      <c r="D19" s="16" t="s">
        <v>167</v>
      </c>
      <c r="E19" s="16" t="s">
        <v>86</v>
      </c>
      <c r="F19" s="16" t="s">
        <v>168</v>
      </c>
      <c r="G19" s="16" t="s">
        <v>57</v>
      </c>
      <c r="H19" s="16" t="s">
        <v>169</v>
      </c>
      <c r="I19" s="16" t="s">
        <v>149</v>
      </c>
      <c r="J19" s="16" t="s">
        <v>60</v>
      </c>
      <c r="K19" s="16" t="s">
        <v>99</v>
      </c>
      <c r="L19" s="16" t="s">
        <v>169</v>
      </c>
      <c r="M19" s="16" t="s">
        <v>150</v>
      </c>
      <c r="N19" s="16"/>
      <c r="O19" s="16" t="s">
        <v>79</v>
      </c>
      <c r="P19" s="16" t="s">
        <v>109</v>
      </c>
      <c r="Q19" s="17" t="n">
        <v>90000</v>
      </c>
      <c r="R19" s="16" t="s">
        <v>92</v>
      </c>
      <c r="S19" s="16" t="n">
        <v>30</v>
      </c>
      <c r="T19" s="17" t="n">
        <v>1500</v>
      </c>
      <c r="U19" s="16" t="s">
        <v>57</v>
      </c>
      <c r="V19" s="16" t="s">
        <v>66</v>
      </c>
      <c r="W19" s="16" t="n">
        <v>2</v>
      </c>
      <c r="X19" s="17" t="n">
        <v>20000</v>
      </c>
      <c r="Y19" s="16" t="s">
        <v>74</v>
      </c>
      <c r="Z19" s="16"/>
      <c r="AA19" s="16"/>
      <c r="AB19" s="17"/>
      <c r="AC19" s="16"/>
      <c r="AD19" s="16" t="s">
        <v>60</v>
      </c>
      <c r="AE19" s="16" t="s">
        <v>69</v>
      </c>
      <c r="AF19" s="16" t="n">
        <v>4</v>
      </c>
      <c r="AG19" s="16" t="s">
        <v>101</v>
      </c>
      <c r="AH19" s="16" t="s">
        <v>83</v>
      </c>
      <c r="AI19" s="18" t="n">
        <f aca="false">IF(AND(U19&lt;&gt;"",U19&lt;&gt;"Cash",U19&lt;&gt;"Bank transfer (NEFT/RTGS)"),N(S19)*N(T19),0)+IF(AND(Y19&lt;&gt;"",Y19&lt;&gt;"Cash",Y19&lt;&gt;"Bank transfer (NEFT/RTGS)"),N(W19)*N(X19),0)+IF(AND(AC19&lt;&gt;"",AC19&lt;&gt;"Cash",AC19&lt;&gt;"Bank transfer (NEFT/RTGS)"),N(AA19)*N(AB19),0)</f>
        <v>85000</v>
      </c>
      <c r="AJ19" s="18" t="n">
        <f aca="false">IF(U19="Paytm",N(S19)*N(T19),0)+IF(Y19="Paytm",N(W19)*N(X19),0)+IF(AC19="Paytm",N(AA19)*N(AB19),0)</f>
        <v>0</v>
      </c>
      <c r="AK19" s="19" t="n">
        <f aca="false">IF(AI19&gt;0,AJ19/AI19,"")</f>
        <v>0</v>
      </c>
      <c r="AL19" s="20" t="n">
        <f aca="false">IF(AND(LEFT(O19,5)="Paytm",(N(S19)*N(T19)+N(W19)*N(X19)+N(AA19)*N(AB19))&gt;0,AJ19&lt;0.5*(N(S19)*N(T19)+N(W19)*N(X19)+N(AA19)*N(AB19))),1,0)</f>
        <v>1</v>
      </c>
    </row>
    <row r="20" customFormat="false" ht="39.75" hidden="false" customHeight="true" outlineLevel="0" collapsed="false">
      <c r="A20" s="14" t="s">
        <v>170</v>
      </c>
      <c r="B20" s="15" t="n">
        <v>46289</v>
      </c>
      <c r="C20" s="16" t="s">
        <v>53</v>
      </c>
      <c r="D20" s="16" t="s">
        <v>131</v>
      </c>
      <c r="E20" s="16" t="s">
        <v>55</v>
      </c>
      <c r="F20" s="16" t="s">
        <v>171</v>
      </c>
      <c r="G20" s="16" t="s">
        <v>57</v>
      </c>
      <c r="H20" s="16" t="s">
        <v>172</v>
      </c>
      <c r="I20" s="16" t="s">
        <v>59</v>
      </c>
      <c r="J20" s="16" t="s">
        <v>77</v>
      </c>
      <c r="K20" s="16" t="s">
        <v>78</v>
      </c>
      <c r="L20" s="16" t="s">
        <v>172</v>
      </c>
      <c r="M20" s="16" t="s">
        <v>150</v>
      </c>
      <c r="N20" s="16" t="s">
        <v>63</v>
      </c>
      <c r="O20" s="16" t="s">
        <v>64</v>
      </c>
      <c r="P20" s="16" t="s">
        <v>65</v>
      </c>
      <c r="Q20" s="17" t="n">
        <v>220000</v>
      </c>
      <c r="R20" s="16" t="s">
        <v>66</v>
      </c>
      <c r="S20" s="16" t="n">
        <v>8</v>
      </c>
      <c r="T20" s="17" t="n">
        <v>20000</v>
      </c>
      <c r="U20" s="16" t="s">
        <v>57</v>
      </c>
      <c r="V20" s="16" t="s">
        <v>80</v>
      </c>
      <c r="W20" s="16" t="n">
        <v>1</v>
      </c>
      <c r="X20" s="17" t="n">
        <v>18000</v>
      </c>
      <c r="Y20" s="16" t="s">
        <v>68</v>
      </c>
      <c r="Z20" s="16"/>
      <c r="AA20" s="16"/>
      <c r="AB20" s="17"/>
      <c r="AC20" s="16"/>
      <c r="AD20" s="16" t="s">
        <v>82</v>
      </c>
      <c r="AE20" s="16" t="s">
        <v>69</v>
      </c>
      <c r="AF20" s="16" t="n">
        <v>5</v>
      </c>
      <c r="AG20" s="16" t="s">
        <v>70</v>
      </c>
      <c r="AH20" s="16" t="s">
        <v>70</v>
      </c>
      <c r="AI20" s="18" t="n">
        <f aca="false">IF(AND(U20&lt;&gt;"",U20&lt;&gt;"Cash",U20&lt;&gt;"Bank transfer (NEFT/RTGS)"),N(S20)*N(T20),0)+IF(AND(Y20&lt;&gt;"",Y20&lt;&gt;"Cash",Y20&lt;&gt;"Bank transfer (NEFT/RTGS)"),N(W20)*N(X20),0)+IF(AND(AC20&lt;&gt;"",AC20&lt;&gt;"Cash",AC20&lt;&gt;"Bank transfer (NEFT/RTGS)"),N(AA20)*N(AB20),0)</f>
        <v>160000</v>
      </c>
      <c r="AJ20" s="18" t="n">
        <f aca="false">IF(U20="Paytm",N(S20)*N(T20),0)+IF(Y20="Paytm",N(W20)*N(X20),0)+IF(AC20="Paytm",N(AA20)*N(AB20),0)</f>
        <v>0</v>
      </c>
      <c r="AK20" s="19" t="n">
        <f aca="false">IF(AI20&gt;0,AJ20/AI20,"")</f>
        <v>0</v>
      </c>
      <c r="AL20" s="20" t="n">
        <f aca="false">IF(AND(LEFT(O20,5)="Paytm",(N(S20)*N(T20)+N(W20)*N(X20)+N(AA20)*N(AB20))&gt;0,AJ20&lt;0.5*(N(S20)*N(T20)+N(W20)*N(X20)+N(AA20)*N(AB20))),1,0)</f>
        <v>1</v>
      </c>
    </row>
    <row r="21" customFormat="false" ht="39.75" hidden="false" customHeight="true" outlineLevel="0" collapsed="false">
      <c r="A21" s="14" t="s">
        <v>173</v>
      </c>
      <c r="B21" s="15" t="n">
        <v>46289</v>
      </c>
      <c r="C21" s="16" t="s">
        <v>53</v>
      </c>
      <c r="D21" s="16" t="s">
        <v>94</v>
      </c>
      <c r="E21" s="16" t="s">
        <v>95</v>
      </c>
      <c r="F21" s="16" t="s">
        <v>174</v>
      </c>
      <c r="G21" s="16" t="s">
        <v>57</v>
      </c>
      <c r="H21" s="16" t="s">
        <v>175</v>
      </c>
      <c r="I21" s="16" t="s">
        <v>98</v>
      </c>
      <c r="J21" s="16" t="s">
        <v>60</v>
      </c>
      <c r="K21" s="16" t="s">
        <v>99</v>
      </c>
      <c r="L21" s="16" t="s">
        <v>175</v>
      </c>
      <c r="M21" s="16" t="s">
        <v>150</v>
      </c>
      <c r="N21" s="16"/>
      <c r="O21" s="16" t="s">
        <v>100</v>
      </c>
      <c r="P21" s="16" t="s">
        <v>128</v>
      </c>
      <c r="Q21" s="17" t="n">
        <v>70000</v>
      </c>
      <c r="R21" s="16" t="s">
        <v>66</v>
      </c>
      <c r="S21" s="16" t="n">
        <v>30</v>
      </c>
      <c r="T21" s="17" t="n">
        <v>1500</v>
      </c>
      <c r="U21" s="16" t="s">
        <v>68</v>
      </c>
      <c r="V21" s="16" t="s">
        <v>80</v>
      </c>
      <c r="W21" s="16" t="n">
        <v>1</v>
      </c>
      <c r="X21" s="17" t="n">
        <v>10000</v>
      </c>
      <c r="Y21" s="16" t="s">
        <v>57</v>
      </c>
      <c r="Z21" s="16"/>
      <c r="AA21" s="16"/>
      <c r="AB21" s="17"/>
      <c r="AC21" s="16"/>
      <c r="AD21" s="16" t="s">
        <v>60</v>
      </c>
      <c r="AE21" s="16" t="s">
        <v>69</v>
      </c>
      <c r="AF21" s="16" t="n">
        <v>3</v>
      </c>
      <c r="AG21" s="16" t="s">
        <v>69</v>
      </c>
      <c r="AH21" s="16" t="s">
        <v>70</v>
      </c>
      <c r="AI21" s="18" t="n">
        <f aca="false">IF(AND(U21&lt;&gt;"",U21&lt;&gt;"Cash",U21&lt;&gt;"Bank transfer (NEFT/RTGS)"),N(S21)*N(T21),0)+IF(AND(Y21&lt;&gt;"",Y21&lt;&gt;"Cash",Y21&lt;&gt;"Bank transfer (NEFT/RTGS)"),N(W21)*N(X21),0)+IF(AND(AC21&lt;&gt;"",AC21&lt;&gt;"Cash",AC21&lt;&gt;"Bank transfer (NEFT/RTGS)"),N(AA21)*N(AB21),0)</f>
        <v>10000</v>
      </c>
      <c r="AJ21" s="18" t="n">
        <f aca="false">IF(U21="Paytm",N(S21)*N(T21),0)+IF(Y21="Paytm",N(W21)*N(X21),0)+IF(AC21="Paytm",N(AA21)*N(AB21),0)</f>
        <v>0</v>
      </c>
      <c r="AK21" s="19" t="n">
        <f aca="false">IF(AI21&gt;0,AJ21/AI21,"")</f>
        <v>0</v>
      </c>
      <c r="AL21" s="20" t="n">
        <f aca="false">IF(AND(LEFT(O21,5)="Paytm",(N(S21)*N(T21)+N(W21)*N(X21)+N(AA21)*N(AB21))&gt;0,AJ21&lt;0.5*(N(S21)*N(T21)+N(W21)*N(X21)+N(AA21)*N(AB21))),1,0)</f>
        <v>0</v>
      </c>
    </row>
    <row r="22" customFormat="false" ht="39.75" hidden="false" customHeight="true" outlineLevel="0" collapsed="false">
      <c r="A22" s="14" t="s">
        <v>176</v>
      </c>
      <c r="B22" s="15" t="n">
        <v>46289</v>
      </c>
      <c r="C22" s="16" t="s">
        <v>53</v>
      </c>
      <c r="D22" s="16" t="s">
        <v>54</v>
      </c>
      <c r="E22" s="16" t="s">
        <v>132</v>
      </c>
      <c r="F22" s="16" t="s">
        <v>155</v>
      </c>
      <c r="G22" s="16" t="s">
        <v>74</v>
      </c>
      <c r="H22" s="16" t="s">
        <v>177</v>
      </c>
      <c r="I22" s="16" t="s">
        <v>59</v>
      </c>
      <c r="J22" s="16" t="s">
        <v>143</v>
      </c>
      <c r="K22" s="16" t="s">
        <v>144</v>
      </c>
      <c r="L22" s="16" t="s">
        <v>177</v>
      </c>
      <c r="M22" s="16" t="s">
        <v>150</v>
      </c>
      <c r="N22" s="16" t="s">
        <v>63</v>
      </c>
      <c r="O22" s="16" t="s">
        <v>64</v>
      </c>
      <c r="P22" s="16" t="s">
        <v>65</v>
      </c>
      <c r="Q22" s="17" t="n">
        <v>80000</v>
      </c>
      <c r="R22" s="16" t="s">
        <v>66</v>
      </c>
      <c r="S22" s="16" t="n">
        <v>2</v>
      </c>
      <c r="T22" s="17" t="n">
        <v>30000</v>
      </c>
      <c r="U22" s="16" t="s">
        <v>74</v>
      </c>
      <c r="V22" s="16" t="s">
        <v>67</v>
      </c>
      <c r="W22" s="16" t="n">
        <v>1</v>
      </c>
      <c r="X22" s="17" t="n">
        <v>8000</v>
      </c>
      <c r="Y22" s="16" t="s">
        <v>68</v>
      </c>
      <c r="Z22" s="16"/>
      <c r="AA22" s="16"/>
      <c r="AB22" s="17"/>
      <c r="AC22" s="16"/>
      <c r="AD22" s="16" t="s">
        <v>146</v>
      </c>
      <c r="AE22" s="16" t="s">
        <v>69</v>
      </c>
      <c r="AF22" s="16" t="n">
        <v>4</v>
      </c>
      <c r="AG22" s="16" t="s">
        <v>70</v>
      </c>
      <c r="AH22" s="16" t="s">
        <v>69</v>
      </c>
      <c r="AI22" s="18" t="n">
        <f aca="false">IF(AND(U22&lt;&gt;"",U22&lt;&gt;"Cash",U22&lt;&gt;"Bank transfer (NEFT/RTGS)"),N(S22)*N(T22),0)+IF(AND(Y22&lt;&gt;"",Y22&lt;&gt;"Cash",Y22&lt;&gt;"Bank transfer (NEFT/RTGS)"),N(W22)*N(X22),0)+IF(AND(AC22&lt;&gt;"",AC22&lt;&gt;"Cash",AC22&lt;&gt;"Bank transfer (NEFT/RTGS)"),N(AA22)*N(AB22),0)</f>
        <v>60000</v>
      </c>
      <c r="AJ22" s="18" t="n">
        <f aca="false">IF(U22="Paytm",N(S22)*N(T22),0)+IF(Y22="Paytm",N(W22)*N(X22),0)+IF(AC22="Paytm",N(AA22)*N(AB22),0)</f>
        <v>0</v>
      </c>
      <c r="AK22" s="19" t="n">
        <f aca="false">IF(AI22&gt;0,AJ22/AI22,"")</f>
        <v>0</v>
      </c>
      <c r="AL22" s="20" t="n">
        <f aca="false">IF(AND(LEFT(O22,5)="Paytm",(N(S22)*N(T22)+N(W22)*N(X22)+N(AA22)*N(AB22))&gt;0,AJ22&lt;0.5*(N(S22)*N(T22)+N(W22)*N(X22)+N(AA22)*N(AB22))),1,0)</f>
        <v>1</v>
      </c>
    </row>
    <row r="23" customFormat="false" ht="39.75" hidden="false" customHeight="true" outlineLevel="0" collapsed="false">
      <c r="A23" s="14" t="s">
        <v>178</v>
      </c>
      <c r="B23" s="15" t="n">
        <v>46289</v>
      </c>
      <c r="C23" s="16" t="s">
        <v>53</v>
      </c>
      <c r="D23" s="16" t="s">
        <v>179</v>
      </c>
      <c r="E23" s="16" t="s">
        <v>135</v>
      </c>
      <c r="F23" s="16" t="s">
        <v>136</v>
      </c>
      <c r="G23" s="16" t="s">
        <v>57</v>
      </c>
      <c r="H23" s="16" t="s">
        <v>180</v>
      </c>
      <c r="I23" s="16" t="s">
        <v>76</v>
      </c>
      <c r="J23" s="16" t="s">
        <v>181</v>
      </c>
      <c r="K23" s="16" t="s">
        <v>182</v>
      </c>
      <c r="L23" s="16" t="s">
        <v>180</v>
      </c>
      <c r="M23" s="16" t="s">
        <v>150</v>
      </c>
      <c r="N23" s="16" t="s">
        <v>63</v>
      </c>
      <c r="O23" s="16" t="s">
        <v>79</v>
      </c>
      <c r="P23" s="16" t="s">
        <v>65</v>
      </c>
      <c r="Q23" s="17" t="n">
        <v>280000</v>
      </c>
      <c r="R23" s="16" t="s">
        <v>66</v>
      </c>
      <c r="S23" s="16" t="n">
        <v>4</v>
      </c>
      <c r="T23" s="17" t="n">
        <v>50000</v>
      </c>
      <c r="U23" s="16" t="s">
        <v>81</v>
      </c>
      <c r="V23" s="16" t="s">
        <v>66</v>
      </c>
      <c r="W23" s="16" t="n">
        <v>4</v>
      </c>
      <c r="X23" s="17" t="n">
        <v>15000</v>
      </c>
      <c r="Y23" s="16" t="s">
        <v>57</v>
      </c>
      <c r="Z23" s="16"/>
      <c r="AA23" s="16"/>
      <c r="AB23" s="17"/>
      <c r="AC23" s="16"/>
      <c r="AD23" s="16" t="s">
        <v>121</v>
      </c>
      <c r="AE23" s="16" t="s">
        <v>70</v>
      </c>
      <c r="AF23" s="16" t="n">
        <v>3</v>
      </c>
      <c r="AG23" s="16" t="s">
        <v>101</v>
      </c>
      <c r="AH23" s="16" t="s">
        <v>83</v>
      </c>
      <c r="AI23" s="18" t="n">
        <f aca="false">IF(AND(U23&lt;&gt;"",U23&lt;&gt;"Cash",U23&lt;&gt;"Bank transfer (NEFT/RTGS)"),N(S23)*N(T23),0)+IF(AND(Y23&lt;&gt;"",Y23&lt;&gt;"Cash",Y23&lt;&gt;"Bank transfer (NEFT/RTGS)"),N(W23)*N(X23),0)+IF(AND(AC23&lt;&gt;"",AC23&lt;&gt;"Cash",AC23&lt;&gt;"Bank transfer (NEFT/RTGS)"),N(AA23)*N(AB23),0)</f>
        <v>60000</v>
      </c>
      <c r="AJ23" s="18" t="n">
        <f aca="false">IF(U23="Paytm",N(S23)*N(T23),0)+IF(Y23="Paytm",N(W23)*N(X23),0)+IF(AC23="Paytm",N(AA23)*N(AB23),0)</f>
        <v>0</v>
      </c>
      <c r="AK23" s="19" t="n">
        <f aca="false">IF(AI23&gt;0,AJ23/AI23,"")</f>
        <v>0</v>
      </c>
      <c r="AL23" s="20" t="n">
        <f aca="false">IF(AND(LEFT(O23,5)="Paytm",(N(S23)*N(T23)+N(W23)*N(X23)+N(AA23)*N(AB23))&gt;0,AJ23&lt;0.5*(N(S23)*N(T23)+N(W23)*N(X23)+N(AA23)*N(AB23))),1,0)</f>
        <v>1</v>
      </c>
    </row>
    <row r="24" customFormat="false" ht="39.75" hidden="false" customHeight="true" outlineLevel="0" collapsed="false">
      <c r="A24" s="14" t="s">
        <v>183</v>
      </c>
      <c r="B24" s="15" t="n">
        <v>46289</v>
      </c>
      <c r="C24" s="16" t="s">
        <v>53</v>
      </c>
      <c r="D24" s="16" t="s">
        <v>103</v>
      </c>
      <c r="E24" s="16" t="s">
        <v>55</v>
      </c>
      <c r="F24" s="16" t="s">
        <v>184</v>
      </c>
      <c r="G24" s="16" t="s">
        <v>57</v>
      </c>
      <c r="H24" s="16"/>
      <c r="I24" s="16" t="s">
        <v>59</v>
      </c>
      <c r="J24" s="16" t="s">
        <v>89</v>
      </c>
      <c r="K24" s="16" t="s">
        <v>90</v>
      </c>
      <c r="L24" s="16" t="s">
        <v>185</v>
      </c>
      <c r="M24" s="16" t="s">
        <v>150</v>
      </c>
      <c r="N24" s="16"/>
      <c r="O24" s="16" t="s">
        <v>64</v>
      </c>
      <c r="P24" s="16" t="s">
        <v>91</v>
      </c>
      <c r="Q24" s="17" t="n">
        <v>180000</v>
      </c>
      <c r="R24" s="16" t="s">
        <v>66</v>
      </c>
      <c r="S24" s="16" t="n">
        <v>6</v>
      </c>
      <c r="T24" s="17" t="n">
        <v>15000</v>
      </c>
      <c r="U24" s="16" t="s">
        <v>57</v>
      </c>
      <c r="V24" s="16" t="s">
        <v>92</v>
      </c>
      <c r="W24" s="16" t="n">
        <v>30</v>
      </c>
      <c r="X24" s="17" t="n">
        <v>1000</v>
      </c>
      <c r="Y24" s="16" t="s">
        <v>68</v>
      </c>
      <c r="Z24" s="16"/>
      <c r="AA24" s="16"/>
      <c r="AB24" s="17"/>
      <c r="AC24" s="16"/>
      <c r="AD24" s="16" t="s">
        <v>89</v>
      </c>
      <c r="AE24" s="16" t="s">
        <v>69</v>
      </c>
      <c r="AF24" s="16" t="n">
        <v>5</v>
      </c>
      <c r="AG24" s="16" t="s">
        <v>70</v>
      </c>
      <c r="AH24" s="16" t="s">
        <v>70</v>
      </c>
      <c r="AI24" s="18" t="n">
        <f aca="false">IF(AND(U24&lt;&gt;"",U24&lt;&gt;"Cash",U24&lt;&gt;"Bank transfer (NEFT/RTGS)"),N(S24)*N(T24),0)+IF(AND(Y24&lt;&gt;"",Y24&lt;&gt;"Cash",Y24&lt;&gt;"Bank transfer (NEFT/RTGS)"),N(W24)*N(X24),0)+IF(AND(AC24&lt;&gt;"",AC24&lt;&gt;"Cash",AC24&lt;&gt;"Bank transfer (NEFT/RTGS)"),N(AA24)*N(AB24),0)</f>
        <v>90000</v>
      </c>
      <c r="AJ24" s="18" t="n">
        <f aca="false">IF(U24="Paytm",N(S24)*N(T24),0)+IF(Y24="Paytm",N(W24)*N(X24),0)+IF(AC24="Paytm",N(AA24)*N(AB24),0)</f>
        <v>0</v>
      </c>
      <c r="AK24" s="19" t="n">
        <f aca="false">IF(AI24&gt;0,AJ24/AI24,"")</f>
        <v>0</v>
      </c>
      <c r="AL24" s="20" t="n">
        <f aca="false">IF(AND(LEFT(O24,5)="Paytm",(N(S24)*N(T24)+N(W24)*N(X24)+N(AA24)*N(AB24))&gt;0,AJ24&lt;0.5*(N(S24)*N(T24)+N(W24)*N(X24)+N(AA24)*N(AB24))),1,0)</f>
        <v>1</v>
      </c>
    </row>
    <row r="25" customFormat="false" ht="39.75" hidden="false" customHeight="true" outlineLevel="0" collapsed="false">
      <c r="A25" s="14" t="s">
        <v>186</v>
      </c>
      <c r="B25" s="15" t="n">
        <v>46289</v>
      </c>
      <c r="C25" s="16" t="s">
        <v>53</v>
      </c>
      <c r="D25" s="16" t="s">
        <v>187</v>
      </c>
      <c r="E25" s="16" t="s">
        <v>86</v>
      </c>
      <c r="F25" s="16" t="s">
        <v>188</v>
      </c>
      <c r="G25" s="16" t="s">
        <v>74</v>
      </c>
      <c r="H25" s="16" t="s">
        <v>189</v>
      </c>
      <c r="I25" s="16" t="s">
        <v>59</v>
      </c>
      <c r="J25" s="16" t="s">
        <v>60</v>
      </c>
      <c r="K25" s="16" t="s">
        <v>99</v>
      </c>
      <c r="L25" s="16" t="s">
        <v>189</v>
      </c>
      <c r="M25" s="16" t="s">
        <v>150</v>
      </c>
      <c r="N25" s="16" t="s">
        <v>63</v>
      </c>
      <c r="O25" s="16" t="s">
        <v>64</v>
      </c>
      <c r="P25" s="16" t="s">
        <v>65</v>
      </c>
      <c r="Q25" s="17" t="n">
        <v>140000</v>
      </c>
      <c r="R25" s="16" t="s">
        <v>92</v>
      </c>
      <c r="S25" s="16" t="n">
        <v>30</v>
      </c>
      <c r="T25" s="17" t="n">
        <v>3000</v>
      </c>
      <c r="U25" s="16" t="s">
        <v>74</v>
      </c>
      <c r="V25" s="16" t="s">
        <v>66</v>
      </c>
      <c r="W25" s="16" t="n">
        <v>2</v>
      </c>
      <c r="X25" s="17" t="n">
        <v>20000</v>
      </c>
      <c r="Y25" s="16" t="s">
        <v>57</v>
      </c>
      <c r="Z25" s="16"/>
      <c r="AA25" s="16"/>
      <c r="AB25" s="17"/>
      <c r="AC25" s="16"/>
      <c r="AD25" s="16" t="s">
        <v>60</v>
      </c>
      <c r="AE25" s="16" t="s">
        <v>69</v>
      </c>
      <c r="AF25" s="16" t="n">
        <v>4</v>
      </c>
      <c r="AG25" s="16" t="s">
        <v>101</v>
      </c>
      <c r="AH25" s="16" t="s">
        <v>69</v>
      </c>
      <c r="AI25" s="18" t="n">
        <f aca="false">IF(AND(U25&lt;&gt;"",U25&lt;&gt;"Cash",U25&lt;&gt;"Bank transfer (NEFT/RTGS)"),N(S25)*N(T25),0)+IF(AND(Y25&lt;&gt;"",Y25&lt;&gt;"Cash",Y25&lt;&gt;"Bank transfer (NEFT/RTGS)"),N(W25)*N(X25),0)+IF(AND(AC25&lt;&gt;"",AC25&lt;&gt;"Cash",AC25&lt;&gt;"Bank transfer (NEFT/RTGS)"),N(AA25)*N(AB25),0)</f>
        <v>130000</v>
      </c>
      <c r="AJ25" s="18" t="n">
        <f aca="false">IF(U25="Paytm",N(S25)*N(T25),0)+IF(Y25="Paytm",N(W25)*N(X25),0)+IF(AC25="Paytm",N(AA25)*N(AB25),0)</f>
        <v>0</v>
      </c>
      <c r="AK25" s="19" t="n">
        <f aca="false">IF(AI25&gt;0,AJ25/AI25,"")</f>
        <v>0</v>
      </c>
      <c r="AL25" s="20" t="n">
        <f aca="false">IF(AND(LEFT(O25,5)="Paytm",(N(S25)*N(T25)+N(W25)*N(X25)+N(AA25)*N(AB25))&gt;0,AJ25&lt;0.5*(N(S25)*N(T25)+N(W25)*N(X25)+N(AA25)*N(AB25))),1,0)</f>
        <v>1</v>
      </c>
    </row>
    <row r="26" customFormat="false" ht="39.75" hidden="false" customHeight="true" outlineLevel="0" collapsed="false">
      <c r="A26" s="14" t="s">
        <v>190</v>
      </c>
      <c r="B26" s="15" t="n">
        <v>46289</v>
      </c>
      <c r="C26" s="16" t="s">
        <v>53</v>
      </c>
      <c r="D26" s="16" t="s">
        <v>112</v>
      </c>
      <c r="E26" s="16" t="s">
        <v>113</v>
      </c>
      <c r="F26" s="16" t="s">
        <v>191</v>
      </c>
      <c r="G26" s="16" t="s">
        <v>57</v>
      </c>
      <c r="H26" s="16" t="s">
        <v>192</v>
      </c>
      <c r="I26" s="16" t="s">
        <v>59</v>
      </c>
      <c r="J26" s="16" t="s">
        <v>193</v>
      </c>
      <c r="K26" s="16" t="s">
        <v>119</v>
      </c>
      <c r="L26" s="16" t="s">
        <v>192</v>
      </c>
      <c r="M26" s="16" t="s">
        <v>150</v>
      </c>
      <c r="N26" s="16" t="s">
        <v>63</v>
      </c>
      <c r="O26" s="16" t="s">
        <v>64</v>
      </c>
      <c r="P26" s="16" t="s">
        <v>65</v>
      </c>
      <c r="Q26" s="17" t="n">
        <v>350000</v>
      </c>
      <c r="R26" s="16" t="s">
        <v>66</v>
      </c>
      <c r="S26" s="16" t="n">
        <v>4</v>
      </c>
      <c r="T26" s="17" t="n">
        <v>70000</v>
      </c>
      <c r="U26" s="16" t="s">
        <v>81</v>
      </c>
      <c r="V26" s="16" t="s">
        <v>80</v>
      </c>
      <c r="W26" s="16" t="n">
        <v>1</v>
      </c>
      <c r="X26" s="17" t="n">
        <v>25000</v>
      </c>
      <c r="Y26" s="16" t="s">
        <v>57</v>
      </c>
      <c r="Z26" s="16"/>
      <c r="AA26" s="16"/>
      <c r="AB26" s="17"/>
      <c r="AC26" s="16"/>
      <c r="AD26" s="16" t="s">
        <v>121</v>
      </c>
      <c r="AE26" s="16" t="s">
        <v>69</v>
      </c>
      <c r="AF26" s="16" t="n">
        <v>4</v>
      </c>
      <c r="AG26" s="16" t="s">
        <v>70</v>
      </c>
      <c r="AH26" s="16" t="s">
        <v>70</v>
      </c>
      <c r="AI26" s="18" t="n">
        <f aca="false">IF(AND(U26&lt;&gt;"",U26&lt;&gt;"Cash",U26&lt;&gt;"Bank transfer (NEFT/RTGS)"),N(S26)*N(T26),0)+IF(AND(Y26&lt;&gt;"",Y26&lt;&gt;"Cash",Y26&lt;&gt;"Bank transfer (NEFT/RTGS)"),N(W26)*N(X26),0)+IF(AND(AC26&lt;&gt;"",AC26&lt;&gt;"Cash",AC26&lt;&gt;"Bank transfer (NEFT/RTGS)"),N(AA26)*N(AB26),0)</f>
        <v>25000</v>
      </c>
      <c r="AJ26" s="18" t="n">
        <f aca="false">IF(U26="Paytm",N(S26)*N(T26),0)+IF(Y26="Paytm",N(W26)*N(X26),0)+IF(AC26="Paytm",N(AA26)*N(AB26),0)</f>
        <v>0</v>
      </c>
      <c r="AK26" s="19" t="n">
        <f aca="false">IF(AI26&gt;0,AJ26/AI26,"")</f>
        <v>0</v>
      </c>
      <c r="AL26" s="20" t="n">
        <f aca="false">IF(AND(LEFT(O26,5)="Paytm",(N(S26)*N(T26)+N(W26)*N(X26)+N(AA26)*N(AB26))&gt;0,AJ26&lt;0.5*(N(S26)*N(T26)+N(W26)*N(X26)+N(AA26)*N(AB26))),1,0)</f>
        <v>1</v>
      </c>
    </row>
    <row r="27" customFormat="false" ht="39.75" hidden="false" customHeight="true" outlineLevel="0" collapsed="false">
      <c r="A27" s="14" t="s">
        <v>194</v>
      </c>
      <c r="B27" s="15" t="n">
        <v>46289</v>
      </c>
      <c r="C27" s="16" t="s">
        <v>53</v>
      </c>
      <c r="D27" s="16" t="s">
        <v>131</v>
      </c>
      <c r="E27" s="16" t="s">
        <v>72</v>
      </c>
      <c r="F27" s="16" t="s">
        <v>155</v>
      </c>
      <c r="G27" s="16" t="s">
        <v>74</v>
      </c>
      <c r="H27" s="16" t="s">
        <v>195</v>
      </c>
      <c r="I27" s="16" t="s">
        <v>76</v>
      </c>
      <c r="J27" s="16" t="s">
        <v>77</v>
      </c>
      <c r="K27" s="16" t="s">
        <v>78</v>
      </c>
      <c r="L27" s="16" t="s">
        <v>195</v>
      </c>
      <c r="M27" s="16" t="s">
        <v>150</v>
      </c>
      <c r="N27" s="16" t="s">
        <v>63</v>
      </c>
      <c r="O27" s="16" t="s">
        <v>79</v>
      </c>
      <c r="P27" s="16" t="s">
        <v>65</v>
      </c>
      <c r="Q27" s="17" t="n">
        <v>450000</v>
      </c>
      <c r="R27" s="16" t="s">
        <v>66</v>
      </c>
      <c r="S27" s="16" t="n">
        <v>12</v>
      </c>
      <c r="T27" s="17" t="n">
        <v>30000</v>
      </c>
      <c r="U27" s="16" t="s">
        <v>74</v>
      </c>
      <c r="V27" s="16" t="s">
        <v>67</v>
      </c>
      <c r="W27" s="16" t="n">
        <v>1</v>
      </c>
      <c r="X27" s="17" t="n">
        <v>15000</v>
      </c>
      <c r="Y27" s="16" t="s">
        <v>68</v>
      </c>
      <c r="Z27" s="16"/>
      <c r="AA27" s="16"/>
      <c r="AB27" s="17"/>
      <c r="AC27" s="16"/>
      <c r="AD27" s="16" t="s">
        <v>82</v>
      </c>
      <c r="AE27" s="16" t="s">
        <v>70</v>
      </c>
      <c r="AF27" s="16" t="n">
        <v>5</v>
      </c>
      <c r="AG27" s="16" t="s">
        <v>70</v>
      </c>
      <c r="AH27" s="16" t="s">
        <v>83</v>
      </c>
      <c r="AI27" s="18" t="n">
        <f aca="false">IF(AND(U27&lt;&gt;"",U27&lt;&gt;"Cash",U27&lt;&gt;"Bank transfer (NEFT/RTGS)"),N(S27)*N(T27),0)+IF(AND(Y27&lt;&gt;"",Y27&lt;&gt;"Cash",Y27&lt;&gt;"Bank transfer (NEFT/RTGS)"),N(W27)*N(X27),0)+IF(AND(AC27&lt;&gt;"",AC27&lt;&gt;"Cash",AC27&lt;&gt;"Bank transfer (NEFT/RTGS)"),N(AA27)*N(AB27),0)</f>
        <v>360000</v>
      </c>
      <c r="AJ27" s="18" t="n">
        <f aca="false">IF(U27="Paytm",N(S27)*N(T27),0)+IF(Y27="Paytm",N(W27)*N(X27),0)+IF(AC27="Paytm",N(AA27)*N(AB27),0)</f>
        <v>0</v>
      </c>
      <c r="AK27" s="19" t="n">
        <f aca="false">IF(AI27&gt;0,AJ27/AI27,"")</f>
        <v>0</v>
      </c>
      <c r="AL27" s="20" t="n">
        <f aca="false">IF(AND(LEFT(O27,5)="Paytm",(N(S27)*N(T27)+N(W27)*N(X27)+N(AA27)*N(AB27))&gt;0,AJ27&lt;0.5*(N(S27)*N(T27)+N(W27)*N(X27)+N(AA27)*N(AB27))),1,0)</f>
        <v>1</v>
      </c>
    </row>
    <row r="28" customFormat="false" ht="39.75" hidden="false" customHeight="true" outlineLevel="0" collapsed="false">
      <c r="A28" s="14" t="s">
        <v>196</v>
      </c>
      <c r="B28" s="15" t="n">
        <v>46289</v>
      </c>
      <c r="C28" s="16" t="s">
        <v>53</v>
      </c>
      <c r="D28" s="16" t="s">
        <v>94</v>
      </c>
      <c r="E28" s="16" t="s">
        <v>104</v>
      </c>
      <c r="F28" s="16" t="s">
        <v>171</v>
      </c>
      <c r="G28" s="16" t="s">
        <v>57</v>
      </c>
      <c r="H28" s="16" t="s">
        <v>197</v>
      </c>
      <c r="I28" s="16" t="s">
        <v>98</v>
      </c>
      <c r="J28" s="16" t="s">
        <v>60</v>
      </c>
      <c r="K28" s="16" t="s">
        <v>99</v>
      </c>
      <c r="L28" s="16" t="s">
        <v>197</v>
      </c>
      <c r="M28" s="16" t="s">
        <v>150</v>
      </c>
      <c r="N28" s="16" t="s">
        <v>63</v>
      </c>
      <c r="O28" s="16" t="s">
        <v>100</v>
      </c>
      <c r="P28" s="16" t="s">
        <v>65</v>
      </c>
      <c r="Q28" s="17" t="n">
        <v>160000</v>
      </c>
      <c r="R28" s="16" t="s">
        <v>66</v>
      </c>
      <c r="S28" s="16" t="n">
        <v>5</v>
      </c>
      <c r="T28" s="17" t="n">
        <v>20000</v>
      </c>
      <c r="U28" s="16" t="s">
        <v>57</v>
      </c>
      <c r="V28" s="16" t="s">
        <v>80</v>
      </c>
      <c r="W28" s="16" t="n">
        <v>1</v>
      </c>
      <c r="X28" s="17" t="n">
        <v>10000</v>
      </c>
      <c r="Y28" s="16" t="s">
        <v>68</v>
      </c>
      <c r="Z28" s="16"/>
      <c r="AA28" s="16"/>
      <c r="AB28" s="17"/>
      <c r="AC28" s="16"/>
      <c r="AD28" s="16" t="s">
        <v>60</v>
      </c>
      <c r="AE28" s="16" t="s">
        <v>69</v>
      </c>
      <c r="AF28" s="16" t="n">
        <v>3</v>
      </c>
      <c r="AG28" s="16" t="s">
        <v>101</v>
      </c>
      <c r="AH28" s="16" t="s">
        <v>70</v>
      </c>
      <c r="AI28" s="18" t="n">
        <f aca="false">IF(AND(U28&lt;&gt;"",U28&lt;&gt;"Cash",U28&lt;&gt;"Bank transfer (NEFT/RTGS)"),N(S28)*N(T28),0)+IF(AND(Y28&lt;&gt;"",Y28&lt;&gt;"Cash",Y28&lt;&gt;"Bank transfer (NEFT/RTGS)"),N(W28)*N(X28),0)+IF(AND(AC28&lt;&gt;"",AC28&lt;&gt;"Cash",AC28&lt;&gt;"Bank transfer (NEFT/RTGS)"),N(AA28)*N(AB28),0)</f>
        <v>100000</v>
      </c>
      <c r="AJ28" s="18" t="n">
        <f aca="false">IF(U28="Paytm",N(S28)*N(T28),0)+IF(Y28="Paytm",N(W28)*N(X28),0)+IF(AC28="Paytm",N(AA28)*N(AB28),0)</f>
        <v>0</v>
      </c>
      <c r="AK28" s="19" t="n">
        <f aca="false">IF(AI28&gt;0,AJ28/AI28,"")</f>
        <v>0</v>
      </c>
      <c r="AL28" s="20" t="n">
        <f aca="false">IF(AND(LEFT(O28,5)="Paytm",(N(S28)*N(T28)+N(W28)*N(X28)+N(AA28)*N(AB28))&gt;0,AJ28&lt;0.5*(N(S28)*N(T28)+N(W28)*N(X28)+N(AA28)*N(AB28))),1,0)</f>
        <v>0</v>
      </c>
    </row>
    <row r="29" customFormat="false" ht="39.75" hidden="false" customHeight="true" outlineLevel="0" collapsed="false">
      <c r="A29" s="14" t="s">
        <v>198</v>
      </c>
      <c r="B29" s="15" t="n">
        <v>46289</v>
      </c>
      <c r="C29" s="16" t="s">
        <v>53</v>
      </c>
      <c r="D29" s="16" t="s">
        <v>54</v>
      </c>
      <c r="E29" s="16" t="s">
        <v>55</v>
      </c>
      <c r="F29" s="16" t="s">
        <v>73</v>
      </c>
      <c r="G29" s="16" t="s">
        <v>74</v>
      </c>
      <c r="H29" s="16" t="s">
        <v>199</v>
      </c>
      <c r="I29" s="16" t="s">
        <v>59</v>
      </c>
      <c r="J29" s="16" t="s">
        <v>143</v>
      </c>
      <c r="K29" s="16" t="s">
        <v>144</v>
      </c>
      <c r="L29" s="16" t="s">
        <v>199</v>
      </c>
      <c r="M29" s="16" t="s">
        <v>150</v>
      </c>
      <c r="N29" s="16"/>
      <c r="O29" s="16" t="s">
        <v>64</v>
      </c>
      <c r="P29" s="16" t="s">
        <v>109</v>
      </c>
      <c r="Q29" s="17" t="n">
        <v>280000</v>
      </c>
      <c r="R29" s="16" t="s">
        <v>66</v>
      </c>
      <c r="S29" s="16" t="n">
        <v>8</v>
      </c>
      <c r="T29" s="17" t="n">
        <v>25000</v>
      </c>
      <c r="U29" s="16" t="s">
        <v>74</v>
      </c>
      <c r="V29" s="16" t="s">
        <v>80</v>
      </c>
      <c r="W29" s="16" t="n">
        <v>1</v>
      </c>
      <c r="X29" s="17" t="n">
        <v>15000</v>
      </c>
      <c r="Y29" s="16" t="s">
        <v>81</v>
      </c>
      <c r="Z29" s="16"/>
      <c r="AA29" s="16"/>
      <c r="AB29" s="17"/>
      <c r="AC29" s="16"/>
      <c r="AD29" s="16" t="s">
        <v>146</v>
      </c>
      <c r="AE29" s="16" t="s">
        <v>69</v>
      </c>
      <c r="AF29" s="16" t="n">
        <v>5</v>
      </c>
      <c r="AG29" s="16" t="s">
        <v>70</v>
      </c>
      <c r="AH29" s="16" t="s">
        <v>69</v>
      </c>
      <c r="AI29" s="18" t="n">
        <f aca="false">IF(AND(U29&lt;&gt;"",U29&lt;&gt;"Cash",U29&lt;&gt;"Bank transfer (NEFT/RTGS)"),N(S29)*N(T29),0)+IF(AND(Y29&lt;&gt;"",Y29&lt;&gt;"Cash",Y29&lt;&gt;"Bank transfer (NEFT/RTGS)"),N(W29)*N(X29),0)+IF(AND(AC29&lt;&gt;"",AC29&lt;&gt;"Cash",AC29&lt;&gt;"Bank transfer (NEFT/RTGS)"),N(AA29)*N(AB29),0)</f>
        <v>200000</v>
      </c>
      <c r="AJ29" s="18" t="n">
        <f aca="false">IF(U29="Paytm",N(S29)*N(T29),0)+IF(Y29="Paytm",N(W29)*N(X29),0)+IF(AC29="Paytm",N(AA29)*N(AB29),0)</f>
        <v>0</v>
      </c>
      <c r="AK29" s="19" t="n">
        <f aca="false">IF(AI29&gt;0,AJ29/AI29,"")</f>
        <v>0</v>
      </c>
      <c r="AL29" s="20" t="n">
        <f aca="false">IF(AND(LEFT(O29,5)="Paytm",(N(S29)*N(T29)+N(W29)*N(X29)+N(AA29)*N(AB29))&gt;0,AJ29&lt;0.5*(N(S29)*N(T29)+N(W29)*N(X29)+N(AA29)*N(AB29))),1,0)</f>
        <v>1</v>
      </c>
    </row>
    <row r="30" customFormat="false" ht="39.75" hidden="false" customHeight="true" outlineLevel="0" collapsed="false">
      <c r="A30" s="14" t="s">
        <v>200</v>
      </c>
      <c r="B30" s="15" t="n">
        <v>46289</v>
      </c>
      <c r="C30" s="16" t="s">
        <v>53</v>
      </c>
      <c r="D30" s="16" t="s">
        <v>123</v>
      </c>
      <c r="E30" s="16" t="s">
        <v>86</v>
      </c>
      <c r="F30" s="16" t="s">
        <v>87</v>
      </c>
      <c r="G30" s="16" t="s">
        <v>57</v>
      </c>
      <c r="H30" s="16"/>
      <c r="I30" s="16" t="s">
        <v>59</v>
      </c>
      <c r="J30" s="16" t="s">
        <v>89</v>
      </c>
      <c r="K30" s="16" t="s">
        <v>90</v>
      </c>
      <c r="L30" s="16" t="s">
        <v>201</v>
      </c>
      <c r="M30" s="16" t="s">
        <v>150</v>
      </c>
      <c r="N30" s="16"/>
      <c r="O30" s="16" t="s">
        <v>64</v>
      </c>
      <c r="P30" s="16" t="s">
        <v>128</v>
      </c>
      <c r="Q30" s="17" t="n">
        <v>180000</v>
      </c>
      <c r="R30" s="16" t="s">
        <v>92</v>
      </c>
      <c r="S30" s="16" t="n">
        <v>30</v>
      </c>
      <c r="T30" s="17" t="n">
        <v>4000</v>
      </c>
      <c r="U30" s="16" t="s">
        <v>68</v>
      </c>
      <c r="V30" s="16" t="s">
        <v>92</v>
      </c>
      <c r="W30" s="16" t="n">
        <v>30</v>
      </c>
      <c r="X30" s="17" t="n">
        <v>1500</v>
      </c>
      <c r="Y30" s="16" t="s">
        <v>57</v>
      </c>
      <c r="Z30" s="16"/>
      <c r="AA30" s="16"/>
      <c r="AB30" s="17"/>
      <c r="AC30" s="16"/>
      <c r="AD30" s="16" t="s">
        <v>89</v>
      </c>
      <c r="AE30" s="16" t="s">
        <v>69</v>
      </c>
      <c r="AF30" s="16" t="n">
        <v>4</v>
      </c>
      <c r="AG30" s="16" t="s">
        <v>70</v>
      </c>
      <c r="AH30" s="16" t="s">
        <v>70</v>
      </c>
      <c r="AI30" s="18" t="n">
        <f aca="false">IF(AND(U30&lt;&gt;"",U30&lt;&gt;"Cash",U30&lt;&gt;"Bank transfer (NEFT/RTGS)"),N(S30)*N(T30),0)+IF(AND(Y30&lt;&gt;"",Y30&lt;&gt;"Cash",Y30&lt;&gt;"Bank transfer (NEFT/RTGS)"),N(W30)*N(X30),0)+IF(AND(AC30&lt;&gt;"",AC30&lt;&gt;"Cash",AC30&lt;&gt;"Bank transfer (NEFT/RTGS)"),N(AA30)*N(AB30),0)</f>
        <v>45000</v>
      </c>
      <c r="AJ30" s="18" t="n">
        <f aca="false">IF(U30="Paytm",N(S30)*N(T30),0)+IF(Y30="Paytm",N(W30)*N(X30),0)+IF(AC30="Paytm",N(AA30)*N(AB30),0)</f>
        <v>0</v>
      </c>
      <c r="AK30" s="19" t="n">
        <f aca="false">IF(AI30&gt;0,AJ30/AI30,"")</f>
        <v>0</v>
      </c>
      <c r="AL30" s="20" t="n">
        <f aca="false">IF(AND(LEFT(O30,5)="Paytm",(N(S30)*N(T30)+N(W30)*N(X30)+N(AA30)*N(AB30))&gt;0,AJ30&lt;0.5*(N(S30)*N(T30)+N(W30)*N(X30)+N(AA30)*N(AB30))),1,0)</f>
        <v>1</v>
      </c>
    </row>
    <row r="31" customFormat="false" ht="39.75" hidden="false" customHeight="true" outlineLevel="0" collapsed="false">
      <c r="A31" s="14" t="s">
        <v>202</v>
      </c>
      <c r="B31" s="15" t="n">
        <v>46289</v>
      </c>
      <c r="C31" s="16" t="s">
        <v>53</v>
      </c>
      <c r="D31" s="16" t="s">
        <v>103</v>
      </c>
      <c r="E31" s="16" t="s">
        <v>142</v>
      </c>
      <c r="F31" s="16" t="s">
        <v>191</v>
      </c>
      <c r="G31" s="16" t="s">
        <v>57</v>
      </c>
      <c r="H31" s="16" t="s">
        <v>203</v>
      </c>
      <c r="I31" s="16" t="s">
        <v>162</v>
      </c>
      <c r="J31" s="16" t="s">
        <v>193</v>
      </c>
      <c r="K31" s="16" t="s">
        <v>119</v>
      </c>
      <c r="L31" s="16" t="s">
        <v>203</v>
      </c>
      <c r="M31" s="16" t="s">
        <v>150</v>
      </c>
      <c r="N31" s="16" t="s">
        <v>63</v>
      </c>
      <c r="O31" s="16" t="s">
        <v>64</v>
      </c>
      <c r="P31" s="16" t="s">
        <v>65</v>
      </c>
      <c r="Q31" s="17" t="n">
        <v>250000</v>
      </c>
      <c r="R31" s="16" t="s">
        <v>66</v>
      </c>
      <c r="S31" s="16" t="n">
        <v>3</v>
      </c>
      <c r="T31" s="17" t="n">
        <v>60000</v>
      </c>
      <c r="U31" s="16" t="s">
        <v>81</v>
      </c>
      <c r="V31" s="16" t="s">
        <v>80</v>
      </c>
      <c r="W31" s="16" t="n">
        <v>1</v>
      </c>
      <c r="X31" s="17" t="n">
        <v>20000</v>
      </c>
      <c r="Y31" s="16" t="s">
        <v>57</v>
      </c>
      <c r="Z31" s="16"/>
      <c r="AA31" s="16"/>
      <c r="AB31" s="17"/>
      <c r="AC31" s="16"/>
      <c r="AD31" s="16" t="s">
        <v>121</v>
      </c>
      <c r="AE31" s="16" t="s">
        <v>70</v>
      </c>
      <c r="AF31" s="16" t="n">
        <v>4</v>
      </c>
      <c r="AG31" s="16" t="s">
        <v>70</v>
      </c>
      <c r="AH31" s="16" t="s">
        <v>83</v>
      </c>
      <c r="AI31" s="18" t="n">
        <f aca="false">IF(AND(U31&lt;&gt;"",U31&lt;&gt;"Cash",U31&lt;&gt;"Bank transfer (NEFT/RTGS)"),N(S31)*N(T31),0)+IF(AND(Y31&lt;&gt;"",Y31&lt;&gt;"Cash",Y31&lt;&gt;"Bank transfer (NEFT/RTGS)"),N(W31)*N(X31),0)+IF(AND(AC31&lt;&gt;"",AC31&lt;&gt;"Cash",AC31&lt;&gt;"Bank transfer (NEFT/RTGS)"),N(AA31)*N(AB31),0)</f>
        <v>20000</v>
      </c>
      <c r="AJ31" s="18" t="n">
        <f aca="false">IF(U31="Paytm",N(S31)*N(T31),0)+IF(Y31="Paytm",N(W31)*N(X31),0)+IF(AC31="Paytm",N(AA31)*N(AB31),0)</f>
        <v>0</v>
      </c>
      <c r="AK31" s="19" t="n">
        <f aca="false">IF(AI31&gt;0,AJ31/AI31,"")</f>
        <v>0</v>
      </c>
      <c r="AL31" s="20" t="n">
        <f aca="false">IF(AND(LEFT(O31,5)="Paytm",(N(S31)*N(T31)+N(W31)*N(X31)+N(AA31)*N(AB31))&gt;0,AJ31&lt;0.5*(N(S31)*N(T31)+N(W31)*N(X31)+N(AA31)*N(AB31))),1,0)</f>
        <v>1</v>
      </c>
    </row>
    <row r="32" customFormat="false" ht="39.75" hidden="false" customHeight="true" outlineLevel="0" collapsed="false">
      <c r="A32" s="14" t="s">
        <v>204</v>
      </c>
      <c r="B32" s="15" t="n">
        <v>46289</v>
      </c>
      <c r="C32" s="16" t="s">
        <v>53</v>
      </c>
      <c r="D32" s="16" t="s">
        <v>159</v>
      </c>
      <c r="E32" s="16" t="s">
        <v>95</v>
      </c>
      <c r="F32" s="16" t="s">
        <v>174</v>
      </c>
      <c r="G32" s="16" t="s">
        <v>57</v>
      </c>
      <c r="H32" s="16" t="s">
        <v>205</v>
      </c>
      <c r="I32" s="16" t="s">
        <v>157</v>
      </c>
      <c r="J32" s="16" t="s">
        <v>77</v>
      </c>
      <c r="K32" s="16" t="s">
        <v>139</v>
      </c>
      <c r="L32" s="16" t="s">
        <v>205</v>
      </c>
      <c r="M32" s="16" t="s">
        <v>150</v>
      </c>
      <c r="N32" s="16"/>
      <c r="O32" s="16" t="s">
        <v>120</v>
      </c>
      <c r="P32" s="16" t="s">
        <v>91</v>
      </c>
      <c r="Q32" s="17" t="n">
        <v>90000</v>
      </c>
      <c r="R32" s="16" t="s">
        <v>66</v>
      </c>
      <c r="S32" s="16" t="n">
        <v>30</v>
      </c>
      <c r="T32" s="17" t="n">
        <v>2000</v>
      </c>
      <c r="U32" s="16" t="s">
        <v>68</v>
      </c>
      <c r="V32" s="16" t="s">
        <v>80</v>
      </c>
      <c r="W32" s="16" t="n">
        <v>1</v>
      </c>
      <c r="X32" s="17" t="n">
        <v>12000</v>
      </c>
      <c r="Y32" s="16" t="s">
        <v>57</v>
      </c>
      <c r="Z32" s="16"/>
      <c r="AA32" s="16"/>
      <c r="AB32" s="17"/>
      <c r="AC32" s="16"/>
      <c r="AD32" s="16" t="s">
        <v>82</v>
      </c>
      <c r="AE32" s="16" t="s">
        <v>69</v>
      </c>
      <c r="AF32" s="16" t="n">
        <v>3</v>
      </c>
      <c r="AG32" s="16" t="s">
        <v>69</v>
      </c>
      <c r="AH32" s="16" t="s">
        <v>70</v>
      </c>
      <c r="AI32" s="18" t="n">
        <f aca="false">IF(AND(U32&lt;&gt;"",U32&lt;&gt;"Cash",U32&lt;&gt;"Bank transfer (NEFT/RTGS)"),N(S32)*N(T32),0)+IF(AND(Y32&lt;&gt;"",Y32&lt;&gt;"Cash",Y32&lt;&gt;"Bank transfer (NEFT/RTGS)"),N(W32)*N(X32),0)+IF(AND(AC32&lt;&gt;"",AC32&lt;&gt;"Cash",AC32&lt;&gt;"Bank transfer (NEFT/RTGS)"),N(AA32)*N(AB32),0)</f>
        <v>12000</v>
      </c>
      <c r="AJ32" s="18" t="n">
        <f aca="false">IF(U32="Paytm",N(S32)*N(T32),0)+IF(Y32="Paytm",N(W32)*N(X32),0)+IF(AC32="Paytm",N(AA32)*N(AB32),0)</f>
        <v>0</v>
      </c>
      <c r="AK32" s="19" t="n">
        <f aca="false">IF(AI32&gt;0,AJ32/AI32,"")</f>
        <v>0</v>
      </c>
      <c r="AL32" s="20" t="n">
        <f aca="false">IF(AND(LEFT(O32,5)="Paytm",(N(S32)*N(T32)+N(W32)*N(X32)+N(AA32)*N(AB32))&gt;0,AJ32&lt;0.5*(N(S32)*N(T32)+N(W32)*N(X32)+N(AA32)*N(AB32))),1,0)</f>
        <v>0</v>
      </c>
    </row>
    <row r="33" customFormat="false" ht="39.75" hidden="false" customHeight="true" outlineLevel="0" collapsed="false">
      <c r="A33" s="14" t="s">
        <v>206</v>
      </c>
      <c r="B33" s="15" t="n">
        <v>46289</v>
      </c>
      <c r="C33" s="16" t="s">
        <v>53</v>
      </c>
      <c r="D33" s="16" t="s">
        <v>131</v>
      </c>
      <c r="E33" s="16" t="s">
        <v>55</v>
      </c>
      <c r="F33" s="16" t="s">
        <v>96</v>
      </c>
      <c r="G33" s="16" t="s">
        <v>57</v>
      </c>
      <c r="H33" s="16" t="s">
        <v>207</v>
      </c>
      <c r="I33" s="16" t="s">
        <v>59</v>
      </c>
      <c r="J33" s="16" t="s">
        <v>60</v>
      </c>
      <c r="K33" s="16" t="s">
        <v>99</v>
      </c>
      <c r="L33" s="16" t="s">
        <v>207</v>
      </c>
      <c r="M33" s="16" t="s">
        <v>150</v>
      </c>
      <c r="N33" s="16" t="s">
        <v>63</v>
      </c>
      <c r="O33" s="16" t="s">
        <v>64</v>
      </c>
      <c r="P33" s="16" t="s">
        <v>65</v>
      </c>
      <c r="Q33" s="17" t="n">
        <v>190000</v>
      </c>
      <c r="R33" s="16" t="s">
        <v>66</v>
      </c>
      <c r="S33" s="16" t="n">
        <v>6</v>
      </c>
      <c r="T33" s="17" t="n">
        <v>20000</v>
      </c>
      <c r="U33" s="16" t="s">
        <v>57</v>
      </c>
      <c r="V33" s="16" t="s">
        <v>92</v>
      </c>
      <c r="W33" s="16" t="n">
        <v>30</v>
      </c>
      <c r="X33" s="17" t="n">
        <v>1500</v>
      </c>
      <c r="Y33" s="16" t="s">
        <v>74</v>
      </c>
      <c r="Z33" s="16"/>
      <c r="AA33" s="16"/>
      <c r="AB33" s="17"/>
      <c r="AC33" s="16"/>
      <c r="AD33" s="16" t="s">
        <v>60</v>
      </c>
      <c r="AE33" s="16" t="s">
        <v>69</v>
      </c>
      <c r="AF33" s="16" t="n">
        <v>4</v>
      </c>
      <c r="AG33" s="16" t="s">
        <v>101</v>
      </c>
      <c r="AH33" s="16" t="s">
        <v>69</v>
      </c>
      <c r="AI33" s="18" t="n">
        <f aca="false">IF(AND(U33&lt;&gt;"",U33&lt;&gt;"Cash",U33&lt;&gt;"Bank transfer (NEFT/RTGS)"),N(S33)*N(T33),0)+IF(AND(Y33&lt;&gt;"",Y33&lt;&gt;"Cash",Y33&lt;&gt;"Bank transfer (NEFT/RTGS)"),N(W33)*N(X33),0)+IF(AND(AC33&lt;&gt;"",AC33&lt;&gt;"Cash",AC33&lt;&gt;"Bank transfer (NEFT/RTGS)"),N(AA33)*N(AB33),0)</f>
        <v>165000</v>
      </c>
      <c r="AJ33" s="18" t="n">
        <f aca="false">IF(U33="Paytm",N(S33)*N(T33),0)+IF(Y33="Paytm",N(W33)*N(X33),0)+IF(AC33="Paytm",N(AA33)*N(AB33),0)</f>
        <v>0</v>
      </c>
      <c r="AK33" s="19" t="n">
        <f aca="false">IF(AI33&gt;0,AJ33/AI33,"")</f>
        <v>0</v>
      </c>
      <c r="AL33" s="20" t="n">
        <f aca="false">IF(AND(LEFT(O33,5)="Paytm",(N(S33)*N(T33)+N(W33)*N(X33)+N(AA33)*N(AB33))&gt;0,AJ33&lt;0.5*(N(S33)*N(T33)+N(W33)*N(X33)+N(AA33)*N(AB33))),1,0)</f>
        <v>1</v>
      </c>
    </row>
    <row r="34" customFormat="false" ht="39.75" hidden="false" customHeight="true" outlineLevel="0" collapsed="false">
      <c r="A34" s="14" t="s">
        <v>208</v>
      </c>
      <c r="B34" s="15" t="n">
        <v>46289</v>
      </c>
      <c r="C34" s="16" t="s">
        <v>53</v>
      </c>
      <c r="D34" s="16" t="s">
        <v>94</v>
      </c>
      <c r="E34" s="16" t="s">
        <v>72</v>
      </c>
      <c r="F34" s="16" t="s">
        <v>209</v>
      </c>
      <c r="G34" s="16" t="s">
        <v>74</v>
      </c>
      <c r="H34" s="16" t="s">
        <v>210</v>
      </c>
      <c r="I34" s="16" t="s">
        <v>149</v>
      </c>
      <c r="J34" s="16" t="s">
        <v>77</v>
      </c>
      <c r="K34" s="16" t="s">
        <v>78</v>
      </c>
      <c r="L34" s="16" t="s">
        <v>210</v>
      </c>
      <c r="M34" s="16" t="s">
        <v>150</v>
      </c>
      <c r="N34" s="16" t="s">
        <v>63</v>
      </c>
      <c r="O34" s="16" t="s">
        <v>79</v>
      </c>
      <c r="P34" s="16" t="s">
        <v>65</v>
      </c>
      <c r="Q34" s="17" t="n">
        <v>350000</v>
      </c>
      <c r="R34" s="16" t="s">
        <v>66</v>
      </c>
      <c r="S34" s="16" t="n">
        <v>10</v>
      </c>
      <c r="T34" s="17" t="n">
        <v>25000</v>
      </c>
      <c r="U34" s="16" t="s">
        <v>74</v>
      </c>
      <c r="V34" s="16" t="s">
        <v>67</v>
      </c>
      <c r="W34" s="16" t="n">
        <v>1</v>
      </c>
      <c r="X34" s="17" t="n">
        <v>12000</v>
      </c>
      <c r="Y34" s="16" t="s">
        <v>57</v>
      </c>
      <c r="Z34" s="16"/>
      <c r="AA34" s="16"/>
      <c r="AB34" s="17"/>
      <c r="AC34" s="16"/>
      <c r="AD34" s="16" t="s">
        <v>82</v>
      </c>
      <c r="AE34" s="16" t="s">
        <v>69</v>
      </c>
      <c r="AF34" s="16" t="n">
        <v>5</v>
      </c>
      <c r="AG34" s="16" t="s">
        <v>70</v>
      </c>
      <c r="AH34" s="16" t="s">
        <v>83</v>
      </c>
      <c r="AI34" s="18" t="n">
        <f aca="false">IF(AND(U34&lt;&gt;"",U34&lt;&gt;"Cash",U34&lt;&gt;"Bank transfer (NEFT/RTGS)"),N(S34)*N(T34),0)+IF(AND(Y34&lt;&gt;"",Y34&lt;&gt;"Cash",Y34&lt;&gt;"Bank transfer (NEFT/RTGS)"),N(W34)*N(X34),0)+IF(AND(AC34&lt;&gt;"",AC34&lt;&gt;"Cash",AC34&lt;&gt;"Bank transfer (NEFT/RTGS)"),N(AA34)*N(AB34),0)</f>
        <v>262000</v>
      </c>
      <c r="AJ34" s="18" t="n">
        <f aca="false">IF(U34="Paytm",N(S34)*N(T34),0)+IF(Y34="Paytm",N(W34)*N(X34),0)+IF(AC34="Paytm",N(AA34)*N(AB34),0)</f>
        <v>0</v>
      </c>
      <c r="AK34" s="19" t="n">
        <f aca="false">IF(AI34&gt;0,AJ34/AI34,"")</f>
        <v>0</v>
      </c>
      <c r="AL34" s="20" t="n">
        <f aca="false">IF(AND(LEFT(O34,5)="Paytm",(N(S34)*N(T34)+N(W34)*N(X34)+N(AA34)*N(AB34))&gt;0,AJ34&lt;0.5*(N(S34)*N(T34)+N(W34)*N(X34)+N(AA34)*N(AB34))),1,0)</f>
        <v>1</v>
      </c>
    </row>
    <row r="35" customFormat="false" ht="39.75" hidden="false" customHeight="true" outlineLevel="0" collapsed="false">
      <c r="A35" s="14" t="s">
        <v>211</v>
      </c>
      <c r="B35" s="15" t="n">
        <v>46289</v>
      </c>
      <c r="C35" s="16" t="s">
        <v>53</v>
      </c>
      <c r="D35" s="16" t="s">
        <v>54</v>
      </c>
      <c r="E35" s="16" t="s">
        <v>104</v>
      </c>
      <c r="F35" s="16" t="s">
        <v>160</v>
      </c>
      <c r="G35" s="16" t="s">
        <v>57</v>
      </c>
      <c r="H35" s="16" t="s">
        <v>212</v>
      </c>
      <c r="I35" s="16" t="s">
        <v>59</v>
      </c>
      <c r="J35" s="16" t="s">
        <v>60</v>
      </c>
      <c r="K35" s="16" t="s">
        <v>61</v>
      </c>
      <c r="L35" s="16" t="s">
        <v>212</v>
      </c>
      <c r="M35" s="16" t="s">
        <v>150</v>
      </c>
      <c r="N35" s="16"/>
      <c r="O35" s="16" t="s">
        <v>64</v>
      </c>
      <c r="P35" s="16" t="s">
        <v>109</v>
      </c>
      <c r="Q35" s="17" t="n">
        <v>150000</v>
      </c>
      <c r="R35" s="16" t="s">
        <v>66</v>
      </c>
      <c r="S35" s="16" t="n">
        <v>5</v>
      </c>
      <c r="T35" s="17" t="n">
        <v>20000</v>
      </c>
      <c r="U35" s="16" t="s">
        <v>57</v>
      </c>
      <c r="V35" s="16" t="s">
        <v>80</v>
      </c>
      <c r="W35" s="16" t="n">
        <v>1</v>
      </c>
      <c r="X35" s="17" t="n">
        <v>15000</v>
      </c>
      <c r="Y35" s="16" t="s">
        <v>81</v>
      </c>
      <c r="Z35" s="16"/>
      <c r="AA35" s="16"/>
      <c r="AB35" s="17"/>
      <c r="AC35" s="16"/>
      <c r="AD35" s="16" t="s">
        <v>60</v>
      </c>
      <c r="AE35" s="16" t="s">
        <v>69</v>
      </c>
      <c r="AF35" s="16" t="n">
        <v>4</v>
      </c>
      <c r="AG35" s="16" t="s">
        <v>70</v>
      </c>
      <c r="AH35" s="16" t="s">
        <v>69</v>
      </c>
      <c r="AI35" s="18" t="n">
        <f aca="false">IF(AND(U35&lt;&gt;"",U35&lt;&gt;"Cash",U35&lt;&gt;"Bank transfer (NEFT/RTGS)"),N(S35)*N(T35),0)+IF(AND(Y35&lt;&gt;"",Y35&lt;&gt;"Cash",Y35&lt;&gt;"Bank transfer (NEFT/RTGS)"),N(W35)*N(X35),0)+IF(AND(AC35&lt;&gt;"",AC35&lt;&gt;"Cash",AC35&lt;&gt;"Bank transfer (NEFT/RTGS)"),N(AA35)*N(AB35),0)</f>
        <v>100000</v>
      </c>
      <c r="AJ35" s="18" t="n">
        <f aca="false">IF(U35="Paytm",N(S35)*N(T35),0)+IF(Y35="Paytm",N(W35)*N(X35),0)+IF(AC35="Paytm",N(AA35)*N(AB35),0)</f>
        <v>0</v>
      </c>
      <c r="AK35" s="19" t="n">
        <f aca="false">IF(AI35&gt;0,AJ35/AI35,"")</f>
        <v>0</v>
      </c>
      <c r="AL35" s="20" t="n">
        <f aca="false">IF(AND(LEFT(O35,5)="Paytm",(N(S35)*N(T35)+N(W35)*N(X35)+N(AA35)*N(AB35))&gt;0,AJ35&lt;0.5*(N(S35)*N(T35)+N(W35)*N(X35)+N(AA35)*N(AB35))),1,0)</f>
        <v>1</v>
      </c>
    </row>
    <row r="36" customFormat="false" ht="39.75" hidden="false" customHeight="true" outlineLevel="0" collapsed="false">
      <c r="A36" s="14" t="s">
        <v>213</v>
      </c>
      <c r="B36" s="15" t="n">
        <v>46289</v>
      </c>
      <c r="C36" s="16" t="s">
        <v>53</v>
      </c>
      <c r="D36" s="16" t="s">
        <v>85</v>
      </c>
      <c r="E36" s="16" t="s">
        <v>86</v>
      </c>
      <c r="F36" s="16" t="s">
        <v>87</v>
      </c>
      <c r="G36" s="16" t="s">
        <v>57</v>
      </c>
      <c r="H36" s="16" t="s">
        <v>214</v>
      </c>
      <c r="I36" s="16" t="s">
        <v>59</v>
      </c>
      <c r="J36" s="16" t="s">
        <v>89</v>
      </c>
      <c r="K36" s="16" t="s">
        <v>90</v>
      </c>
      <c r="L36" s="16" t="s">
        <v>214</v>
      </c>
      <c r="M36" s="16" t="s">
        <v>150</v>
      </c>
      <c r="N36" s="16"/>
      <c r="O36" s="16" t="s">
        <v>64</v>
      </c>
      <c r="P36" s="16" t="s">
        <v>91</v>
      </c>
      <c r="Q36" s="17" t="n">
        <v>110000</v>
      </c>
      <c r="R36" s="16" t="s">
        <v>92</v>
      </c>
      <c r="S36" s="16" t="n">
        <v>30</v>
      </c>
      <c r="T36" s="17" t="n">
        <v>2500</v>
      </c>
      <c r="U36" s="16" t="s">
        <v>68</v>
      </c>
      <c r="V36" s="16" t="s">
        <v>92</v>
      </c>
      <c r="W36" s="16" t="n">
        <v>30</v>
      </c>
      <c r="X36" s="17" t="n">
        <v>1000</v>
      </c>
      <c r="Y36" s="16" t="s">
        <v>57</v>
      </c>
      <c r="Z36" s="16"/>
      <c r="AA36" s="16"/>
      <c r="AB36" s="17"/>
      <c r="AC36" s="16"/>
      <c r="AD36" s="16" t="s">
        <v>89</v>
      </c>
      <c r="AE36" s="16" t="s">
        <v>69</v>
      </c>
      <c r="AF36" s="16" t="n">
        <v>5</v>
      </c>
      <c r="AG36" s="16" t="s">
        <v>70</v>
      </c>
      <c r="AH36" s="16" t="s">
        <v>70</v>
      </c>
      <c r="AI36" s="18" t="n">
        <f aca="false">IF(AND(U36&lt;&gt;"",U36&lt;&gt;"Cash",U36&lt;&gt;"Bank transfer (NEFT/RTGS)"),N(S36)*N(T36),0)+IF(AND(Y36&lt;&gt;"",Y36&lt;&gt;"Cash",Y36&lt;&gt;"Bank transfer (NEFT/RTGS)"),N(W36)*N(X36),0)+IF(AND(AC36&lt;&gt;"",AC36&lt;&gt;"Cash",AC36&lt;&gt;"Bank transfer (NEFT/RTGS)"),N(AA36)*N(AB36),0)</f>
        <v>30000</v>
      </c>
      <c r="AJ36" s="18" t="n">
        <f aca="false">IF(U36="Paytm",N(S36)*N(T36),0)+IF(Y36="Paytm",N(W36)*N(X36),0)+IF(AC36="Paytm",N(AA36)*N(AB36),0)</f>
        <v>0</v>
      </c>
      <c r="AK36" s="19" t="n">
        <f aca="false">IF(AI36&gt;0,AJ36/AI36,"")</f>
        <v>0</v>
      </c>
      <c r="AL36" s="20" t="n">
        <f aca="false">IF(AND(LEFT(O36,5)="Paytm",(N(S36)*N(T36)+N(W36)*N(X36)+N(AA36)*N(AB36))&gt;0,AJ36&lt;0.5*(N(S36)*N(T36)+N(W36)*N(X36)+N(AA36)*N(AB36))),1,0)</f>
        <v>1</v>
      </c>
    </row>
    <row r="37" customFormat="false" ht="39.75" hidden="false" customHeight="true" outlineLevel="0" collapsed="false">
      <c r="A37" s="14" t="s">
        <v>215</v>
      </c>
      <c r="B37" s="15" t="n">
        <v>46289</v>
      </c>
      <c r="C37" s="16" t="s">
        <v>53</v>
      </c>
      <c r="D37" s="16" t="s">
        <v>103</v>
      </c>
      <c r="E37" s="16" t="s">
        <v>132</v>
      </c>
      <c r="F37" s="16" t="s">
        <v>105</v>
      </c>
      <c r="G37" s="16" t="s">
        <v>74</v>
      </c>
      <c r="H37" s="16" t="s">
        <v>216</v>
      </c>
      <c r="I37" s="16" t="s">
        <v>98</v>
      </c>
      <c r="J37" s="16" t="s">
        <v>60</v>
      </c>
      <c r="K37" s="16" t="s">
        <v>99</v>
      </c>
      <c r="L37" s="16" t="s">
        <v>216</v>
      </c>
      <c r="M37" s="16" t="s">
        <v>150</v>
      </c>
      <c r="N37" s="16" t="s">
        <v>63</v>
      </c>
      <c r="O37" s="16" t="s">
        <v>100</v>
      </c>
      <c r="P37" s="16" t="s">
        <v>65</v>
      </c>
      <c r="Q37" s="17" t="n">
        <v>70000</v>
      </c>
      <c r="R37" s="16" t="s">
        <v>66</v>
      </c>
      <c r="S37" s="16" t="n">
        <v>2</v>
      </c>
      <c r="T37" s="17" t="n">
        <v>25000</v>
      </c>
      <c r="U37" s="16" t="s">
        <v>74</v>
      </c>
      <c r="V37" s="16" t="s">
        <v>80</v>
      </c>
      <c r="W37" s="16" t="n">
        <v>1</v>
      </c>
      <c r="X37" s="17" t="n">
        <v>10000</v>
      </c>
      <c r="Y37" s="16" t="s">
        <v>57</v>
      </c>
      <c r="Z37" s="16"/>
      <c r="AA37" s="16"/>
      <c r="AB37" s="17"/>
      <c r="AC37" s="16"/>
      <c r="AD37" s="16" t="s">
        <v>60</v>
      </c>
      <c r="AE37" s="16" t="s">
        <v>69</v>
      </c>
      <c r="AF37" s="16" t="n">
        <v>4</v>
      </c>
      <c r="AG37" s="16" t="s">
        <v>101</v>
      </c>
      <c r="AH37" s="16" t="s">
        <v>69</v>
      </c>
      <c r="AI37" s="18" t="n">
        <f aca="false">IF(AND(U37&lt;&gt;"",U37&lt;&gt;"Cash",U37&lt;&gt;"Bank transfer (NEFT/RTGS)"),N(S37)*N(T37),0)+IF(AND(Y37&lt;&gt;"",Y37&lt;&gt;"Cash",Y37&lt;&gt;"Bank transfer (NEFT/RTGS)"),N(W37)*N(X37),0)+IF(AND(AC37&lt;&gt;"",AC37&lt;&gt;"Cash",AC37&lt;&gt;"Bank transfer (NEFT/RTGS)"),N(AA37)*N(AB37),0)</f>
        <v>60000</v>
      </c>
      <c r="AJ37" s="18" t="n">
        <f aca="false">IF(U37="Paytm",N(S37)*N(T37),0)+IF(Y37="Paytm",N(W37)*N(X37),0)+IF(AC37="Paytm",N(AA37)*N(AB37),0)</f>
        <v>0</v>
      </c>
      <c r="AK37" s="19" t="n">
        <f aca="false">IF(AI37&gt;0,AJ37/AI37,"")</f>
        <v>0</v>
      </c>
      <c r="AL37" s="20" t="n">
        <f aca="false">IF(AND(LEFT(O37,5)="Paytm",(N(S37)*N(T37)+N(W37)*N(X37)+N(AA37)*N(AB37))&gt;0,AJ37&lt;0.5*(N(S37)*N(T37)+N(W37)*N(X37)+N(AA37)*N(AB37))),1,0)</f>
        <v>0</v>
      </c>
    </row>
    <row r="38" customFormat="false" ht="39.75" hidden="false" customHeight="true" outlineLevel="0" collapsed="false">
      <c r="A38" s="14" t="s">
        <v>217</v>
      </c>
      <c r="B38" s="15" t="n">
        <v>46289</v>
      </c>
      <c r="C38" s="16" t="s">
        <v>53</v>
      </c>
      <c r="D38" s="16" t="s">
        <v>179</v>
      </c>
      <c r="E38" s="16" t="s">
        <v>135</v>
      </c>
      <c r="F38" s="16" t="s">
        <v>114</v>
      </c>
      <c r="G38" s="16" t="s">
        <v>115</v>
      </c>
      <c r="H38" s="16"/>
      <c r="I38" s="16" t="s">
        <v>162</v>
      </c>
      <c r="J38" s="16" t="s">
        <v>193</v>
      </c>
      <c r="K38" s="16" t="s">
        <v>182</v>
      </c>
      <c r="L38" s="16" t="s">
        <v>218</v>
      </c>
      <c r="M38" s="16" t="s">
        <v>150</v>
      </c>
      <c r="N38" s="16" t="s">
        <v>63</v>
      </c>
      <c r="O38" s="16" t="s">
        <v>64</v>
      </c>
      <c r="P38" s="16" t="s">
        <v>65</v>
      </c>
      <c r="Q38" s="17" t="n">
        <v>320000</v>
      </c>
      <c r="R38" s="16" t="s">
        <v>66</v>
      </c>
      <c r="S38" s="16" t="n">
        <v>5</v>
      </c>
      <c r="T38" s="17" t="n">
        <v>40000</v>
      </c>
      <c r="U38" s="16" t="s">
        <v>81</v>
      </c>
      <c r="V38" s="16" t="s">
        <v>67</v>
      </c>
      <c r="W38" s="16" t="n">
        <v>1</v>
      </c>
      <c r="X38" s="17" t="n">
        <v>15000</v>
      </c>
      <c r="Y38" s="16" t="s">
        <v>68</v>
      </c>
      <c r="Z38" s="16"/>
      <c r="AA38" s="16"/>
      <c r="AB38" s="17"/>
      <c r="AC38" s="16"/>
      <c r="AD38" s="16" t="s">
        <v>121</v>
      </c>
      <c r="AE38" s="16" t="s">
        <v>70</v>
      </c>
      <c r="AF38" s="16" t="n">
        <v>3</v>
      </c>
      <c r="AG38" s="16" t="s">
        <v>101</v>
      </c>
      <c r="AH38" s="16" t="s">
        <v>70</v>
      </c>
      <c r="AI38" s="18" t="n">
        <f aca="false">IF(AND(U38&lt;&gt;"",U38&lt;&gt;"Cash",U38&lt;&gt;"Bank transfer (NEFT/RTGS)"),N(S38)*N(T38),0)+IF(AND(Y38&lt;&gt;"",Y38&lt;&gt;"Cash",Y38&lt;&gt;"Bank transfer (NEFT/RTGS)"),N(W38)*N(X38),0)+IF(AND(AC38&lt;&gt;"",AC38&lt;&gt;"Cash",AC38&lt;&gt;"Bank transfer (NEFT/RTGS)"),N(AA38)*N(AB38),0)</f>
        <v>0</v>
      </c>
      <c r="AJ38" s="18" t="n">
        <f aca="false">IF(U38="Paytm",N(S38)*N(T38),0)+IF(Y38="Paytm",N(W38)*N(X38),0)+IF(AC38="Paytm",N(AA38)*N(AB38),0)</f>
        <v>0</v>
      </c>
      <c r="AK38" s="19" t="str">
        <f aca="false">IF(AI38&gt;0,AJ38/AI38,"")</f>
        <v/>
      </c>
      <c r="AL38" s="20" t="n">
        <f aca="false">IF(AND(LEFT(O38,5)="Paytm",(N(S38)*N(T38)+N(W38)*N(X38)+N(AA38)*N(AB38))&gt;0,AJ38&lt;0.5*(N(S38)*N(T38)+N(W38)*N(X38)+N(AA38)*N(AB38))),1,0)</f>
        <v>1</v>
      </c>
    </row>
    <row r="39" customFormat="false" ht="39.75" hidden="false" customHeight="true" outlineLevel="0" collapsed="false">
      <c r="A39" s="14" t="s">
        <v>219</v>
      </c>
      <c r="B39" s="15" t="n">
        <v>46289</v>
      </c>
      <c r="C39" s="16" t="s">
        <v>53</v>
      </c>
      <c r="D39" s="16" t="s">
        <v>131</v>
      </c>
      <c r="E39" s="16" t="s">
        <v>113</v>
      </c>
      <c r="F39" s="16" t="s">
        <v>105</v>
      </c>
      <c r="G39" s="16" t="s">
        <v>74</v>
      </c>
      <c r="H39" s="16" t="s">
        <v>220</v>
      </c>
      <c r="I39" s="16" t="s">
        <v>149</v>
      </c>
      <c r="J39" s="16" t="s">
        <v>60</v>
      </c>
      <c r="K39" s="16" t="s">
        <v>61</v>
      </c>
      <c r="L39" s="16" t="s">
        <v>220</v>
      </c>
      <c r="M39" s="16" t="s">
        <v>150</v>
      </c>
      <c r="N39" s="16" t="s">
        <v>63</v>
      </c>
      <c r="O39" s="16" t="s">
        <v>79</v>
      </c>
      <c r="P39" s="16" t="s">
        <v>65</v>
      </c>
      <c r="Q39" s="17" t="n">
        <v>250000</v>
      </c>
      <c r="R39" s="16" t="s">
        <v>66</v>
      </c>
      <c r="S39" s="16" t="n">
        <v>4</v>
      </c>
      <c r="T39" s="17" t="n">
        <v>45000</v>
      </c>
      <c r="U39" s="16" t="s">
        <v>74</v>
      </c>
      <c r="V39" s="16" t="s">
        <v>80</v>
      </c>
      <c r="W39" s="16" t="n">
        <v>1</v>
      </c>
      <c r="X39" s="17" t="n">
        <v>18000</v>
      </c>
      <c r="Y39" s="16" t="s">
        <v>57</v>
      </c>
      <c r="Z39" s="16"/>
      <c r="AA39" s="16"/>
      <c r="AB39" s="17"/>
      <c r="AC39" s="16"/>
      <c r="AD39" s="16" t="s">
        <v>60</v>
      </c>
      <c r="AE39" s="16" t="s">
        <v>69</v>
      </c>
      <c r="AF39" s="16" t="n">
        <v>4</v>
      </c>
      <c r="AG39" s="16" t="s">
        <v>70</v>
      </c>
      <c r="AH39" s="16" t="s">
        <v>83</v>
      </c>
      <c r="AI39" s="18" t="n">
        <f aca="false">IF(AND(U39&lt;&gt;"",U39&lt;&gt;"Cash",U39&lt;&gt;"Bank transfer (NEFT/RTGS)"),N(S39)*N(T39),0)+IF(AND(Y39&lt;&gt;"",Y39&lt;&gt;"Cash",Y39&lt;&gt;"Bank transfer (NEFT/RTGS)"),N(W39)*N(X39),0)+IF(AND(AC39&lt;&gt;"",AC39&lt;&gt;"Cash",AC39&lt;&gt;"Bank transfer (NEFT/RTGS)"),N(AA39)*N(AB39),0)</f>
        <v>198000</v>
      </c>
      <c r="AJ39" s="18" t="n">
        <f aca="false">IF(U39="Paytm",N(S39)*N(T39),0)+IF(Y39="Paytm",N(W39)*N(X39),0)+IF(AC39="Paytm",N(AA39)*N(AB39),0)</f>
        <v>0</v>
      </c>
      <c r="AK39" s="19" t="n">
        <f aca="false">IF(AI39&gt;0,AJ39/AI39,"")</f>
        <v>0</v>
      </c>
      <c r="AL39" s="20" t="n">
        <f aca="false">IF(AND(LEFT(O39,5)="Paytm",(N(S39)*N(T39)+N(W39)*N(X39)+N(AA39)*N(AB39))&gt;0,AJ39&lt;0.5*(N(S39)*N(T39)+N(W39)*N(X39)+N(AA39)*N(AB39))),1,0)</f>
        <v>1</v>
      </c>
    </row>
    <row r="40" customFormat="false" ht="39.75" hidden="false" customHeight="true" outlineLevel="0" collapsed="false">
      <c r="A40" s="14" t="s">
        <v>221</v>
      </c>
      <c r="B40" s="15" t="n">
        <v>46289</v>
      </c>
      <c r="C40" s="16" t="s">
        <v>53</v>
      </c>
      <c r="D40" s="16" t="s">
        <v>112</v>
      </c>
      <c r="E40" s="16" t="s">
        <v>55</v>
      </c>
      <c r="F40" s="16" t="s">
        <v>184</v>
      </c>
      <c r="G40" s="16" t="s">
        <v>57</v>
      </c>
      <c r="H40" s="16"/>
      <c r="I40" s="16" t="s">
        <v>59</v>
      </c>
      <c r="J40" s="16" t="s">
        <v>89</v>
      </c>
      <c r="K40" s="16" t="s">
        <v>90</v>
      </c>
      <c r="L40" s="16" t="s">
        <v>222</v>
      </c>
      <c r="M40" s="16" t="s">
        <v>150</v>
      </c>
      <c r="N40" s="16"/>
      <c r="O40" s="16" t="s">
        <v>64</v>
      </c>
      <c r="P40" s="16" t="s">
        <v>91</v>
      </c>
      <c r="Q40" s="17" t="n">
        <v>200000</v>
      </c>
      <c r="R40" s="16" t="s">
        <v>66</v>
      </c>
      <c r="S40" s="16" t="n">
        <v>6</v>
      </c>
      <c r="T40" s="17" t="n">
        <v>18000</v>
      </c>
      <c r="U40" s="16" t="s">
        <v>57</v>
      </c>
      <c r="V40" s="16" t="s">
        <v>92</v>
      </c>
      <c r="W40" s="16" t="n">
        <v>30</v>
      </c>
      <c r="X40" s="17" t="n">
        <v>1500</v>
      </c>
      <c r="Y40" s="16" t="s">
        <v>68</v>
      </c>
      <c r="Z40" s="16"/>
      <c r="AA40" s="16"/>
      <c r="AB40" s="17"/>
      <c r="AC40" s="16"/>
      <c r="AD40" s="16" t="s">
        <v>89</v>
      </c>
      <c r="AE40" s="16" t="s">
        <v>69</v>
      </c>
      <c r="AF40" s="16" t="n">
        <v>5</v>
      </c>
      <c r="AG40" s="16" t="s">
        <v>70</v>
      </c>
      <c r="AH40" s="16" t="s">
        <v>70</v>
      </c>
      <c r="AI40" s="18" t="n">
        <f aca="false">IF(AND(U40&lt;&gt;"",U40&lt;&gt;"Cash",U40&lt;&gt;"Bank transfer (NEFT/RTGS)"),N(S40)*N(T40),0)+IF(AND(Y40&lt;&gt;"",Y40&lt;&gt;"Cash",Y40&lt;&gt;"Bank transfer (NEFT/RTGS)"),N(W40)*N(X40),0)+IF(AND(AC40&lt;&gt;"",AC40&lt;&gt;"Cash",AC40&lt;&gt;"Bank transfer (NEFT/RTGS)"),N(AA40)*N(AB40),0)</f>
        <v>108000</v>
      </c>
      <c r="AJ40" s="18" t="n">
        <f aca="false">IF(U40="Paytm",N(S40)*N(T40),0)+IF(Y40="Paytm",N(W40)*N(X40),0)+IF(AC40="Paytm",N(AA40)*N(AB40),0)</f>
        <v>0</v>
      </c>
      <c r="AK40" s="19" t="n">
        <f aca="false">IF(AI40&gt;0,AJ40/AI40,"")</f>
        <v>0</v>
      </c>
      <c r="AL40" s="20" t="n">
        <f aca="false">IF(AND(LEFT(O40,5)="Paytm",(N(S40)*N(T40)+N(W40)*N(X40)+N(AA40)*N(AB40))&gt;0,AJ40&lt;0.5*(N(S40)*N(T40)+N(W40)*N(X40)+N(AA40)*N(AB40))),1,0)</f>
        <v>1</v>
      </c>
    </row>
    <row r="41" customFormat="false" ht="39.75" hidden="false" customHeight="true" outlineLevel="0" collapsed="false">
      <c r="A41" s="14" t="s">
        <v>223</v>
      </c>
      <c r="B41" s="15" t="n">
        <v>46289</v>
      </c>
      <c r="C41" s="16" t="s">
        <v>53</v>
      </c>
      <c r="D41" s="16" t="s">
        <v>167</v>
      </c>
      <c r="E41" s="16" t="s">
        <v>86</v>
      </c>
      <c r="F41" s="16" t="s">
        <v>188</v>
      </c>
      <c r="G41" s="16" t="s">
        <v>74</v>
      </c>
      <c r="H41" s="16" t="s">
        <v>224</v>
      </c>
      <c r="I41" s="16" t="s">
        <v>59</v>
      </c>
      <c r="J41" s="16" t="s">
        <v>60</v>
      </c>
      <c r="K41" s="16" t="s">
        <v>61</v>
      </c>
      <c r="L41" s="16" t="s">
        <v>224</v>
      </c>
      <c r="M41" s="16" t="s">
        <v>150</v>
      </c>
      <c r="N41" s="16" t="s">
        <v>63</v>
      </c>
      <c r="O41" s="16" t="s">
        <v>64</v>
      </c>
      <c r="P41" s="16" t="s">
        <v>65</v>
      </c>
      <c r="Q41" s="17" t="n">
        <v>130000</v>
      </c>
      <c r="R41" s="16" t="s">
        <v>92</v>
      </c>
      <c r="S41" s="16" t="n">
        <v>30</v>
      </c>
      <c r="T41" s="17" t="n">
        <v>3000</v>
      </c>
      <c r="U41" s="16" t="s">
        <v>74</v>
      </c>
      <c r="V41" s="16" t="s">
        <v>66</v>
      </c>
      <c r="W41" s="16" t="n">
        <v>3</v>
      </c>
      <c r="X41" s="17" t="n">
        <v>15000</v>
      </c>
      <c r="Y41" s="16" t="s">
        <v>57</v>
      </c>
      <c r="Z41" s="16"/>
      <c r="AA41" s="16"/>
      <c r="AB41" s="17"/>
      <c r="AC41" s="16"/>
      <c r="AD41" s="16" t="s">
        <v>60</v>
      </c>
      <c r="AE41" s="16" t="s">
        <v>69</v>
      </c>
      <c r="AF41" s="16" t="n">
        <v>4</v>
      </c>
      <c r="AG41" s="16" t="s">
        <v>70</v>
      </c>
      <c r="AH41" s="16" t="s">
        <v>69</v>
      </c>
      <c r="AI41" s="18" t="n">
        <f aca="false">IF(AND(U41&lt;&gt;"",U41&lt;&gt;"Cash",U41&lt;&gt;"Bank transfer (NEFT/RTGS)"),N(S41)*N(T41),0)+IF(AND(Y41&lt;&gt;"",Y41&lt;&gt;"Cash",Y41&lt;&gt;"Bank transfer (NEFT/RTGS)"),N(W41)*N(X41),0)+IF(AND(AC41&lt;&gt;"",AC41&lt;&gt;"Cash",AC41&lt;&gt;"Bank transfer (NEFT/RTGS)"),N(AA41)*N(AB41),0)</f>
        <v>135000</v>
      </c>
      <c r="AJ41" s="18" t="n">
        <f aca="false">IF(U41="Paytm",N(S41)*N(T41),0)+IF(Y41="Paytm",N(W41)*N(X41),0)+IF(AC41="Paytm",N(AA41)*N(AB41),0)</f>
        <v>0</v>
      </c>
      <c r="AK41" s="19" t="n">
        <f aca="false">IF(AI41&gt;0,AJ41/AI41,"")</f>
        <v>0</v>
      </c>
      <c r="AL41" s="20" t="n">
        <f aca="false">IF(AND(LEFT(O41,5)="Paytm",(N(S41)*N(T41)+N(W41)*N(X41)+N(AA41)*N(AB41))&gt;0,AJ41&lt;0.5*(N(S41)*N(T41)+N(W41)*N(X41)+N(AA41)*N(AB41))),1,0)</f>
        <v>1</v>
      </c>
    </row>
    <row r="42" customFormat="false" ht="39.75" hidden="false" customHeight="true" outlineLevel="0" collapsed="false">
      <c r="A42" s="14" t="s">
        <v>225</v>
      </c>
      <c r="B42" s="15" t="n">
        <v>46289</v>
      </c>
      <c r="C42" s="16" t="s">
        <v>53</v>
      </c>
      <c r="D42" s="16" t="s">
        <v>94</v>
      </c>
      <c r="E42" s="16" t="s">
        <v>142</v>
      </c>
      <c r="F42" s="16" t="s">
        <v>191</v>
      </c>
      <c r="G42" s="16" t="s">
        <v>57</v>
      </c>
      <c r="H42" s="16" t="s">
        <v>226</v>
      </c>
      <c r="I42" s="16" t="s">
        <v>157</v>
      </c>
      <c r="J42" s="16" t="s">
        <v>77</v>
      </c>
      <c r="K42" s="16" t="s">
        <v>139</v>
      </c>
      <c r="L42" s="16" t="s">
        <v>226</v>
      </c>
      <c r="M42" s="16" t="s">
        <v>150</v>
      </c>
      <c r="N42" s="16" t="s">
        <v>63</v>
      </c>
      <c r="O42" s="16" t="s">
        <v>120</v>
      </c>
      <c r="P42" s="16" t="s">
        <v>65</v>
      </c>
      <c r="Q42" s="17" t="n">
        <v>180000</v>
      </c>
      <c r="R42" s="16" t="s">
        <v>66</v>
      </c>
      <c r="S42" s="16" t="n">
        <v>2</v>
      </c>
      <c r="T42" s="17" t="n">
        <v>70000</v>
      </c>
      <c r="U42" s="16" t="s">
        <v>81</v>
      </c>
      <c r="V42" s="16" t="s">
        <v>80</v>
      </c>
      <c r="W42" s="16" t="n">
        <v>1</v>
      </c>
      <c r="X42" s="17" t="n">
        <v>12000</v>
      </c>
      <c r="Y42" s="16" t="s">
        <v>57</v>
      </c>
      <c r="Z42" s="16"/>
      <c r="AA42" s="16"/>
      <c r="AB42" s="17"/>
      <c r="AC42" s="16"/>
      <c r="AD42" s="16" t="s">
        <v>82</v>
      </c>
      <c r="AE42" s="16" t="s">
        <v>69</v>
      </c>
      <c r="AF42" s="16" t="n">
        <v>4</v>
      </c>
      <c r="AG42" s="16" t="s">
        <v>101</v>
      </c>
      <c r="AH42" s="16" t="s">
        <v>70</v>
      </c>
      <c r="AI42" s="18" t="n">
        <f aca="false">IF(AND(U42&lt;&gt;"",U42&lt;&gt;"Cash",U42&lt;&gt;"Bank transfer (NEFT/RTGS)"),N(S42)*N(T42),0)+IF(AND(Y42&lt;&gt;"",Y42&lt;&gt;"Cash",Y42&lt;&gt;"Bank transfer (NEFT/RTGS)"),N(W42)*N(X42),0)+IF(AND(AC42&lt;&gt;"",AC42&lt;&gt;"Cash",AC42&lt;&gt;"Bank transfer (NEFT/RTGS)"),N(AA42)*N(AB42),0)</f>
        <v>12000</v>
      </c>
      <c r="AJ42" s="18" t="n">
        <f aca="false">IF(U42="Paytm",N(S42)*N(T42),0)+IF(Y42="Paytm",N(W42)*N(X42),0)+IF(AC42="Paytm",N(AA42)*N(AB42),0)</f>
        <v>0</v>
      </c>
      <c r="AK42" s="19" t="n">
        <f aca="false">IF(AI42&gt;0,AJ42/AI42,"")</f>
        <v>0</v>
      </c>
      <c r="AL42" s="20" t="n">
        <f aca="false">IF(AND(LEFT(O42,5)="Paytm",(N(S42)*N(T42)+N(W42)*N(X42)+N(AA42)*N(AB42))&gt;0,AJ42&lt;0.5*(N(S42)*N(T42)+N(W42)*N(X42)+N(AA42)*N(AB42))),1,0)</f>
        <v>0</v>
      </c>
    </row>
    <row r="43" customFormat="false" ht="39.75" hidden="false" customHeight="true" outlineLevel="0" collapsed="false">
      <c r="A43" s="14" t="s">
        <v>227</v>
      </c>
      <c r="B43" s="15" t="n">
        <v>46289</v>
      </c>
      <c r="C43" s="16" t="s">
        <v>53</v>
      </c>
      <c r="D43" s="16" t="s">
        <v>103</v>
      </c>
      <c r="E43" s="16" t="s">
        <v>95</v>
      </c>
      <c r="F43" s="16" t="s">
        <v>174</v>
      </c>
      <c r="G43" s="16" t="s">
        <v>57</v>
      </c>
      <c r="H43" s="16" t="s">
        <v>228</v>
      </c>
      <c r="I43" s="16" t="s">
        <v>59</v>
      </c>
      <c r="J43" s="16" t="s">
        <v>89</v>
      </c>
      <c r="K43" s="16" t="s">
        <v>90</v>
      </c>
      <c r="L43" s="16" t="s">
        <v>228</v>
      </c>
      <c r="M43" s="16" t="s">
        <v>150</v>
      </c>
      <c r="N43" s="16"/>
      <c r="O43" s="16" t="s">
        <v>64</v>
      </c>
      <c r="P43" s="16" t="s">
        <v>128</v>
      </c>
      <c r="Q43" s="17" t="n">
        <v>85000</v>
      </c>
      <c r="R43" s="16" t="s">
        <v>66</v>
      </c>
      <c r="S43" s="16" t="n">
        <v>30</v>
      </c>
      <c r="T43" s="17" t="n">
        <v>1800</v>
      </c>
      <c r="U43" s="16" t="s">
        <v>68</v>
      </c>
      <c r="V43" s="16" t="s">
        <v>80</v>
      </c>
      <c r="W43" s="16" t="n">
        <v>1</v>
      </c>
      <c r="X43" s="17" t="n">
        <v>10000</v>
      </c>
      <c r="Y43" s="16" t="s">
        <v>57</v>
      </c>
      <c r="Z43" s="16"/>
      <c r="AA43" s="16"/>
      <c r="AB43" s="17"/>
      <c r="AC43" s="16"/>
      <c r="AD43" s="16" t="s">
        <v>89</v>
      </c>
      <c r="AE43" s="16" t="s">
        <v>69</v>
      </c>
      <c r="AF43" s="16" t="n">
        <v>5</v>
      </c>
      <c r="AG43" s="16" t="s">
        <v>70</v>
      </c>
      <c r="AH43" s="16" t="s">
        <v>70</v>
      </c>
      <c r="AI43" s="18" t="n">
        <f aca="false">IF(AND(U43&lt;&gt;"",U43&lt;&gt;"Cash",U43&lt;&gt;"Bank transfer (NEFT/RTGS)"),N(S43)*N(T43),0)+IF(AND(Y43&lt;&gt;"",Y43&lt;&gt;"Cash",Y43&lt;&gt;"Bank transfer (NEFT/RTGS)"),N(W43)*N(X43),0)+IF(AND(AC43&lt;&gt;"",AC43&lt;&gt;"Cash",AC43&lt;&gt;"Bank transfer (NEFT/RTGS)"),N(AA43)*N(AB43),0)</f>
        <v>10000</v>
      </c>
      <c r="AJ43" s="18" t="n">
        <f aca="false">IF(U43="Paytm",N(S43)*N(T43),0)+IF(Y43="Paytm",N(W43)*N(X43),0)+IF(AC43="Paytm",N(AA43)*N(AB43),0)</f>
        <v>0</v>
      </c>
      <c r="AK43" s="19" t="n">
        <f aca="false">IF(AI43&gt;0,AJ43/AI43,"")</f>
        <v>0</v>
      </c>
      <c r="AL43" s="20" t="n">
        <f aca="false">IF(AND(LEFT(O43,5)="Paytm",(N(S43)*N(T43)+N(W43)*N(X43)+N(AA43)*N(AB43))&gt;0,AJ43&lt;0.5*(N(S43)*N(T43)+N(W43)*N(X43)+N(AA43)*N(AB43))),1,0)</f>
        <v>1</v>
      </c>
    </row>
    <row r="44" customFormat="false" ht="39.75" hidden="false" customHeight="true" outlineLevel="0" collapsed="false">
      <c r="A44" s="14" t="s">
        <v>229</v>
      </c>
      <c r="B44" s="15" t="n">
        <v>46289</v>
      </c>
      <c r="C44" s="16" t="s">
        <v>53</v>
      </c>
      <c r="D44" s="16" t="s">
        <v>54</v>
      </c>
      <c r="E44" s="16" t="s">
        <v>72</v>
      </c>
      <c r="F44" s="16" t="s">
        <v>209</v>
      </c>
      <c r="G44" s="16" t="s">
        <v>74</v>
      </c>
      <c r="H44" s="16"/>
      <c r="I44" s="16" t="s">
        <v>162</v>
      </c>
      <c r="J44" s="16" t="s">
        <v>60</v>
      </c>
      <c r="K44" s="16" t="s">
        <v>61</v>
      </c>
      <c r="L44" s="16" t="s">
        <v>230</v>
      </c>
      <c r="M44" s="16" t="s">
        <v>150</v>
      </c>
      <c r="N44" s="16" t="s">
        <v>63</v>
      </c>
      <c r="O44" s="16" t="s">
        <v>64</v>
      </c>
      <c r="P44" s="16" t="s">
        <v>65</v>
      </c>
      <c r="Q44" s="17" t="n">
        <v>380000</v>
      </c>
      <c r="R44" s="16" t="s">
        <v>66</v>
      </c>
      <c r="S44" s="16" t="n">
        <v>10</v>
      </c>
      <c r="T44" s="17" t="n">
        <v>25000</v>
      </c>
      <c r="U44" s="16" t="s">
        <v>74</v>
      </c>
      <c r="V44" s="16" t="s">
        <v>67</v>
      </c>
      <c r="W44" s="16" t="n">
        <v>1</v>
      </c>
      <c r="X44" s="17" t="n">
        <v>12000</v>
      </c>
      <c r="Y44" s="16" t="s">
        <v>57</v>
      </c>
      <c r="Z44" s="16"/>
      <c r="AA44" s="16"/>
      <c r="AB44" s="17"/>
      <c r="AC44" s="16"/>
      <c r="AD44" s="16" t="s">
        <v>60</v>
      </c>
      <c r="AE44" s="16" t="s">
        <v>70</v>
      </c>
      <c r="AF44" s="16" t="n">
        <v>5</v>
      </c>
      <c r="AG44" s="16" t="s">
        <v>70</v>
      </c>
      <c r="AH44" s="16" t="s">
        <v>83</v>
      </c>
      <c r="AI44" s="18" t="n">
        <f aca="false">IF(AND(U44&lt;&gt;"",U44&lt;&gt;"Cash",U44&lt;&gt;"Bank transfer (NEFT/RTGS)"),N(S44)*N(T44),0)+IF(AND(Y44&lt;&gt;"",Y44&lt;&gt;"Cash",Y44&lt;&gt;"Bank transfer (NEFT/RTGS)"),N(W44)*N(X44),0)+IF(AND(AC44&lt;&gt;"",AC44&lt;&gt;"Cash",AC44&lt;&gt;"Bank transfer (NEFT/RTGS)"),N(AA44)*N(AB44),0)</f>
        <v>262000</v>
      </c>
      <c r="AJ44" s="18" t="n">
        <f aca="false">IF(U44="Paytm",N(S44)*N(T44),0)+IF(Y44="Paytm",N(W44)*N(X44),0)+IF(AC44="Paytm",N(AA44)*N(AB44),0)</f>
        <v>0</v>
      </c>
      <c r="AK44" s="19" t="n">
        <f aca="false">IF(AI44&gt;0,AJ44/AI44,"")</f>
        <v>0</v>
      </c>
      <c r="AL44" s="20" t="n">
        <f aca="false">IF(AND(LEFT(O44,5)="Paytm",(N(S44)*N(T44)+N(W44)*N(X44)+N(AA44)*N(AB44))&gt;0,AJ44&lt;0.5*(N(S44)*N(T44)+N(W44)*N(X44)+N(AA44)*N(AB44))),1,0)</f>
        <v>1</v>
      </c>
    </row>
    <row r="45" customFormat="false" ht="39.75" hidden="false" customHeight="true" outlineLevel="0" collapsed="false">
      <c r="A45" s="14" t="s">
        <v>231</v>
      </c>
      <c r="B45" s="15" t="n">
        <v>46289</v>
      </c>
      <c r="C45" s="16" t="s">
        <v>53</v>
      </c>
      <c r="D45" s="16" t="s">
        <v>159</v>
      </c>
      <c r="E45" s="16" t="s">
        <v>55</v>
      </c>
      <c r="F45" s="16" t="s">
        <v>160</v>
      </c>
      <c r="G45" s="16" t="s">
        <v>57</v>
      </c>
      <c r="H45" s="16" t="s">
        <v>232</v>
      </c>
      <c r="I45" s="16" t="s">
        <v>149</v>
      </c>
      <c r="J45" s="16" t="s">
        <v>77</v>
      </c>
      <c r="K45" s="16" t="s">
        <v>139</v>
      </c>
      <c r="L45" s="16" t="s">
        <v>232</v>
      </c>
      <c r="M45" s="16" t="s">
        <v>150</v>
      </c>
      <c r="N45" s="16" t="s">
        <v>63</v>
      </c>
      <c r="O45" s="16" t="s">
        <v>79</v>
      </c>
      <c r="P45" s="16" t="s">
        <v>65</v>
      </c>
      <c r="Q45" s="17" t="n">
        <v>210000</v>
      </c>
      <c r="R45" s="16" t="s">
        <v>66</v>
      </c>
      <c r="S45" s="16" t="n">
        <v>6</v>
      </c>
      <c r="T45" s="17" t="n">
        <v>20000</v>
      </c>
      <c r="U45" s="16" t="s">
        <v>57</v>
      </c>
      <c r="V45" s="16" t="s">
        <v>80</v>
      </c>
      <c r="W45" s="16" t="n">
        <v>1</v>
      </c>
      <c r="X45" s="17" t="n">
        <v>15000</v>
      </c>
      <c r="Y45" s="16" t="s">
        <v>81</v>
      </c>
      <c r="Z45" s="16"/>
      <c r="AA45" s="16"/>
      <c r="AB45" s="17"/>
      <c r="AC45" s="16"/>
      <c r="AD45" s="16" t="s">
        <v>82</v>
      </c>
      <c r="AE45" s="16" t="s">
        <v>69</v>
      </c>
      <c r="AF45" s="16" t="n">
        <v>4</v>
      </c>
      <c r="AG45" s="16" t="s">
        <v>101</v>
      </c>
      <c r="AH45" s="16" t="s">
        <v>70</v>
      </c>
      <c r="AI45" s="18" t="n">
        <f aca="false">IF(AND(U45&lt;&gt;"",U45&lt;&gt;"Cash",U45&lt;&gt;"Bank transfer (NEFT/RTGS)"),N(S45)*N(T45),0)+IF(AND(Y45&lt;&gt;"",Y45&lt;&gt;"Cash",Y45&lt;&gt;"Bank transfer (NEFT/RTGS)"),N(W45)*N(X45),0)+IF(AND(AC45&lt;&gt;"",AC45&lt;&gt;"Cash",AC45&lt;&gt;"Bank transfer (NEFT/RTGS)"),N(AA45)*N(AB45),0)</f>
        <v>120000</v>
      </c>
      <c r="AJ45" s="18" t="n">
        <f aca="false">IF(U45="Paytm",N(S45)*N(T45),0)+IF(Y45="Paytm",N(W45)*N(X45),0)+IF(AC45="Paytm",N(AA45)*N(AB45),0)</f>
        <v>0</v>
      </c>
      <c r="AK45" s="19" t="n">
        <f aca="false">IF(AI45&gt;0,AJ45/AI45,"")</f>
        <v>0</v>
      </c>
      <c r="AL45" s="20" t="n">
        <f aca="false">IF(AND(LEFT(O45,5)="Paytm",(N(S45)*N(T45)+N(W45)*N(X45)+N(AA45)*N(AB45))&gt;0,AJ45&lt;0.5*(N(S45)*N(T45)+N(W45)*N(X45)+N(AA45)*N(AB45))),1,0)</f>
        <v>1</v>
      </c>
    </row>
    <row r="46" customFormat="false" ht="39.75" hidden="false" customHeight="true" outlineLevel="0" collapsed="false">
      <c r="A46" s="14" t="s">
        <v>233</v>
      </c>
      <c r="B46" s="15" t="n">
        <v>46289</v>
      </c>
      <c r="C46" s="16" t="s">
        <v>53</v>
      </c>
      <c r="D46" s="16" t="s">
        <v>131</v>
      </c>
      <c r="E46" s="16" t="s">
        <v>104</v>
      </c>
      <c r="F46" s="16" t="s">
        <v>234</v>
      </c>
      <c r="G46" s="16" t="s">
        <v>74</v>
      </c>
      <c r="H46" s="16" t="s">
        <v>235</v>
      </c>
      <c r="I46" s="16" t="s">
        <v>59</v>
      </c>
      <c r="J46" s="16" t="s">
        <v>143</v>
      </c>
      <c r="K46" s="16" t="s">
        <v>144</v>
      </c>
      <c r="L46" s="16" t="s">
        <v>235</v>
      </c>
      <c r="M46" s="16" t="s">
        <v>150</v>
      </c>
      <c r="N46" s="16"/>
      <c r="O46" s="16" t="s">
        <v>64</v>
      </c>
      <c r="P46" s="16" t="s">
        <v>109</v>
      </c>
      <c r="Q46" s="17" t="n">
        <v>170000</v>
      </c>
      <c r="R46" s="16" t="s">
        <v>66</v>
      </c>
      <c r="S46" s="16" t="n">
        <v>5</v>
      </c>
      <c r="T46" s="17" t="n">
        <v>22000</v>
      </c>
      <c r="U46" s="16" t="s">
        <v>74</v>
      </c>
      <c r="V46" s="16" t="s">
        <v>92</v>
      </c>
      <c r="W46" s="16" t="n">
        <v>15</v>
      </c>
      <c r="X46" s="17" t="n">
        <v>1000</v>
      </c>
      <c r="Y46" s="16" t="s">
        <v>57</v>
      </c>
      <c r="Z46" s="16"/>
      <c r="AA46" s="16"/>
      <c r="AB46" s="17"/>
      <c r="AC46" s="16"/>
      <c r="AD46" s="16" t="s">
        <v>146</v>
      </c>
      <c r="AE46" s="16" t="s">
        <v>69</v>
      </c>
      <c r="AF46" s="16" t="n">
        <v>5</v>
      </c>
      <c r="AG46" s="16" t="s">
        <v>70</v>
      </c>
      <c r="AH46" s="16" t="s">
        <v>69</v>
      </c>
      <c r="AI46" s="18" t="n">
        <f aca="false">IF(AND(U46&lt;&gt;"",U46&lt;&gt;"Cash",U46&lt;&gt;"Bank transfer (NEFT/RTGS)"),N(S46)*N(T46),0)+IF(AND(Y46&lt;&gt;"",Y46&lt;&gt;"Cash",Y46&lt;&gt;"Bank transfer (NEFT/RTGS)"),N(W46)*N(X46),0)+IF(AND(AC46&lt;&gt;"",AC46&lt;&gt;"Cash",AC46&lt;&gt;"Bank transfer (NEFT/RTGS)"),N(AA46)*N(AB46),0)</f>
        <v>125000</v>
      </c>
      <c r="AJ46" s="18" t="n">
        <f aca="false">IF(U46="Paytm",N(S46)*N(T46),0)+IF(Y46="Paytm",N(W46)*N(X46),0)+IF(AC46="Paytm",N(AA46)*N(AB46),0)</f>
        <v>0</v>
      </c>
      <c r="AK46" s="19" t="n">
        <f aca="false">IF(AI46&gt;0,AJ46/AI46,"")</f>
        <v>0</v>
      </c>
      <c r="AL46" s="20" t="n">
        <f aca="false">IF(AND(LEFT(O46,5)="Paytm",(N(S46)*N(T46)+N(W46)*N(X46)+N(AA46)*N(AB46))&gt;0,AJ46&lt;0.5*(N(S46)*N(T46)+N(W46)*N(X46)+N(AA46)*N(AB46))),1,0)</f>
        <v>1</v>
      </c>
    </row>
    <row r="47" customFormat="false" ht="39.75" hidden="false" customHeight="true" outlineLevel="0" collapsed="false">
      <c r="A47" s="14" t="s">
        <v>236</v>
      </c>
      <c r="B47" s="15" t="n">
        <v>46289</v>
      </c>
      <c r="C47" s="16" t="s">
        <v>53</v>
      </c>
      <c r="D47" s="16" t="s">
        <v>187</v>
      </c>
      <c r="E47" s="16" t="s">
        <v>86</v>
      </c>
      <c r="F47" s="16" t="s">
        <v>124</v>
      </c>
      <c r="G47" s="16" t="s">
        <v>57</v>
      </c>
      <c r="H47" s="16"/>
      <c r="I47" s="16" t="s">
        <v>98</v>
      </c>
      <c r="J47" s="16" t="s">
        <v>89</v>
      </c>
      <c r="K47" s="16" t="s">
        <v>90</v>
      </c>
      <c r="L47" s="16" t="s">
        <v>237</v>
      </c>
      <c r="M47" s="16" t="s">
        <v>150</v>
      </c>
      <c r="N47" s="16"/>
      <c r="O47" s="16" t="s">
        <v>100</v>
      </c>
      <c r="P47" s="16" t="s">
        <v>91</v>
      </c>
      <c r="Q47" s="17" t="n">
        <v>100000</v>
      </c>
      <c r="R47" s="16" t="s">
        <v>92</v>
      </c>
      <c r="S47" s="16" t="n">
        <v>30</v>
      </c>
      <c r="T47" s="17" t="n">
        <v>2500</v>
      </c>
      <c r="U47" s="16" t="s">
        <v>68</v>
      </c>
      <c r="V47" s="16" t="s">
        <v>66</v>
      </c>
      <c r="W47" s="16" t="n">
        <v>2</v>
      </c>
      <c r="X47" s="17" t="n">
        <v>12000</v>
      </c>
      <c r="Y47" s="16" t="s">
        <v>57</v>
      </c>
      <c r="Z47" s="16"/>
      <c r="AA47" s="16"/>
      <c r="AB47" s="17"/>
      <c r="AC47" s="16"/>
      <c r="AD47" s="16" t="s">
        <v>89</v>
      </c>
      <c r="AE47" s="16" t="s">
        <v>69</v>
      </c>
      <c r="AF47" s="16" t="n">
        <v>5</v>
      </c>
      <c r="AG47" s="16" t="s">
        <v>70</v>
      </c>
      <c r="AH47" s="16" t="s">
        <v>70</v>
      </c>
      <c r="AI47" s="18" t="n">
        <f aca="false">IF(AND(U47&lt;&gt;"",U47&lt;&gt;"Cash",U47&lt;&gt;"Bank transfer (NEFT/RTGS)"),N(S47)*N(T47),0)+IF(AND(Y47&lt;&gt;"",Y47&lt;&gt;"Cash",Y47&lt;&gt;"Bank transfer (NEFT/RTGS)"),N(W47)*N(X47),0)+IF(AND(AC47&lt;&gt;"",AC47&lt;&gt;"Cash",AC47&lt;&gt;"Bank transfer (NEFT/RTGS)"),N(AA47)*N(AB47),0)</f>
        <v>24000</v>
      </c>
      <c r="AJ47" s="18" t="n">
        <f aca="false">IF(U47="Paytm",N(S47)*N(T47),0)+IF(Y47="Paytm",N(W47)*N(X47),0)+IF(AC47="Paytm",N(AA47)*N(AB47),0)</f>
        <v>0</v>
      </c>
      <c r="AK47" s="19" t="n">
        <f aca="false">IF(AI47&gt;0,AJ47/AI47,"")</f>
        <v>0</v>
      </c>
      <c r="AL47" s="20" t="n">
        <f aca="false">IF(AND(LEFT(O47,5)="Paytm",(N(S47)*N(T47)+N(W47)*N(X47)+N(AA47)*N(AB47))&gt;0,AJ47&lt;0.5*(N(S47)*N(T47)+N(W47)*N(X47)+N(AA47)*N(AB47))),1,0)</f>
        <v>0</v>
      </c>
    </row>
    <row r="48" customFormat="false" ht="39.75" hidden="false" customHeight="true" outlineLevel="0" collapsed="false">
      <c r="A48" s="14" t="s">
        <v>238</v>
      </c>
      <c r="B48" s="15" t="n">
        <v>46289</v>
      </c>
      <c r="C48" s="16" t="s">
        <v>53</v>
      </c>
      <c r="D48" s="16" t="s">
        <v>112</v>
      </c>
      <c r="E48" s="16" t="s">
        <v>135</v>
      </c>
      <c r="F48" s="16" t="s">
        <v>239</v>
      </c>
      <c r="G48" s="16" t="s">
        <v>57</v>
      </c>
      <c r="H48" s="16" t="s">
        <v>240</v>
      </c>
      <c r="I48" s="16" t="s">
        <v>162</v>
      </c>
      <c r="J48" s="16" t="s">
        <v>163</v>
      </c>
      <c r="K48" s="16" t="s">
        <v>241</v>
      </c>
      <c r="L48" s="16" t="s">
        <v>240</v>
      </c>
      <c r="M48" s="16" t="s">
        <v>150</v>
      </c>
      <c r="N48" s="16" t="s">
        <v>63</v>
      </c>
      <c r="O48" s="16" t="s">
        <v>64</v>
      </c>
      <c r="P48" s="16" t="s">
        <v>65</v>
      </c>
      <c r="Q48" s="17" t="n">
        <v>290000</v>
      </c>
      <c r="R48" s="16" t="s">
        <v>66</v>
      </c>
      <c r="S48" s="16" t="n">
        <v>4</v>
      </c>
      <c r="T48" s="17" t="n">
        <v>45000</v>
      </c>
      <c r="U48" s="16" t="s">
        <v>81</v>
      </c>
      <c r="V48" s="16" t="s">
        <v>67</v>
      </c>
      <c r="W48" s="16" t="n">
        <v>1</v>
      </c>
      <c r="X48" s="17" t="n">
        <v>15000</v>
      </c>
      <c r="Y48" s="16" t="s">
        <v>57</v>
      </c>
      <c r="Z48" s="16"/>
      <c r="AA48" s="16"/>
      <c r="AB48" s="17"/>
      <c r="AC48" s="16"/>
      <c r="AD48" s="16" t="s">
        <v>165</v>
      </c>
      <c r="AE48" s="16" t="s">
        <v>70</v>
      </c>
      <c r="AF48" s="16" t="n">
        <v>4</v>
      </c>
      <c r="AG48" s="16" t="s">
        <v>101</v>
      </c>
      <c r="AH48" s="16" t="s">
        <v>83</v>
      </c>
      <c r="AI48" s="18" t="n">
        <f aca="false">IF(AND(U48&lt;&gt;"",U48&lt;&gt;"Cash",U48&lt;&gt;"Bank transfer (NEFT/RTGS)"),N(S48)*N(T48),0)+IF(AND(Y48&lt;&gt;"",Y48&lt;&gt;"Cash",Y48&lt;&gt;"Bank transfer (NEFT/RTGS)"),N(W48)*N(X48),0)+IF(AND(AC48&lt;&gt;"",AC48&lt;&gt;"Cash",AC48&lt;&gt;"Bank transfer (NEFT/RTGS)"),N(AA48)*N(AB48),0)</f>
        <v>15000</v>
      </c>
      <c r="AJ48" s="18" t="n">
        <f aca="false">IF(U48="Paytm",N(S48)*N(T48),0)+IF(Y48="Paytm",N(W48)*N(X48),0)+IF(AC48="Paytm",N(AA48)*N(AB48),0)</f>
        <v>0</v>
      </c>
      <c r="AK48" s="19" t="n">
        <f aca="false">IF(AI48&gt;0,AJ48/AI48,"")</f>
        <v>0</v>
      </c>
      <c r="AL48" s="20" t="n">
        <f aca="false">IF(AND(LEFT(O48,5)="Paytm",(N(S48)*N(T48)+N(W48)*N(X48)+N(AA48)*N(AB48))&gt;0,AJ48&lt;0.5*(N(S48)*N(T48)+N(W48)*N(X48)+N(AA48)*N(AB48))),1,0)</f>
        <v>1</v>
      </c>
    </row>
    <row r="49" customFormat="false" ht="39.75" hidden="false" customHeight="true" outlineLevel="0" collapsed="false">
      <c r="A49" s="14" t="s">
        <v>242</v>
      </c>
      <c r="B49" s="15" t="n">
        <v>46289</v>
      </c>
      <c r="C49" s="16" t="s">
        <v>53</v>
      </c>
      <c r="D49" s="16" t="s">
        <v>94</v>
      </c>
      <c r="E49" s="16" t="s">
        <v>55</v>
      </c>
      <c r="F49" s="16" t="s">
        <v>96</v>
      </c>
      <c r="G49" s="16" t="s">
        <v>57</v>
      </c>
      <c r="H49" s="16" t="s">
        <v>243</v>
      </c>
      <c r="I49" s="16" t="s">
        <v>59</v>
      </c>
      <c r="J49" s="16" t="s">
        <v>60</v>
      </c>
      <c r="K49" s="16" t="s">
        <v>99</v>
      </c>
      <c r="L49" s="16" t="s">
        <v>243</v>
      </c>
      <c r="M49" s="16" t="s">
        <v>150</v>
      </c>
      <c r="N49" s="16" t="s">
        <v>63</v>
      </c>
      <c r="O49" s="16" t="s">
        <v>64</v>
      </c>
      <c r="P49" s="16" t="s">
        <v>65</v>
      </c>
      <c r="Q49" s="17" t="n">
        <v>160000</v>
      </c>
      <c r="R49" s="16" t="s">
        <v>66</v>
      </c>
      <c r="S49" s="16" t="n">
        <v>7</v>
      </c>
      <c r="T49" s="17" t="n">
        <v>15000</v>
      </c>
      <c r="U49" s="16" t="s">
        <v>57</v>
      </c>
      <c r="V49" s="16" t="s">
        <v>92</v>
      </c>
      <c r="W49" s="16" t="n">
        <v>30</v>
      </c>
      <c r="X49" s="17" t="n">
        <v>1000</v>
      </c>
      <c r="Y49" s="16" t="s">
        <v>74</v>
      </c>
      <c r="Z49" s="16"/>
      <c r="AA49" s="16"/>
      <c r="AB49" s="17"/>
      <c r="AC49" s="16"/>
      <c r="AD49" s="16" t="s">
        <v>60</v>
      </c>
      <c r="AE49" s="16" t="s">
        <v>69</v>
      </c>
      <c r="AF49" s="16" t="n">
        <v>4</v>
      </c>
      <c r="AG49" s="16" t="s">
        <v>101</v>
      </c>
      <c r="AH49" s="16" t="s">
        <v>69</v>
      </c>
      <c r="AI49" s="18" t="n">
        <f aca="false">IF(AND(U49&lt;&gt;"",U49&lt;&gt;"Cash",U49&lt;&gt;"Bank transfer (NEFT/RTGS)"),N(S49)*N(T49),0)+IF(AND(Y49&lt;&gt;"",Y49&lt;&gt;"Cash",Y49&lt;&gt;"Bank transfer (NEFT/RTGS)"),N(W49)*N(X49),0)+IF(AND(AC49&lt;&gt;"",AC49&lt;&gt;"Cash",AC49&lt;&gt;"Bank transfer (NEFT/RTGS)"),N(AA49)*N(AB49),0)</f>
        <v>135000</v>
      </c>
      <c r="AJ49" s="18" t="n">
        <f aca="false">IF(U49="Paytm",N(S49)*N(T49),0)+IF(Y49="Paytm",N(W49)*N(X49),0)+IF(AC49="Paytm",N(AA49)*N(AB49),0)</f>
        <v>0</v>
      </c>
      <c r="AK49" s="19" t="n">
        <f aca="false">IF(AI49&gt;0,AJ49/AI49,"")</f>
        <v>0</v>
      </c>
      <c r="AL49" s="20" t="n">
        <f aca="false">IF(AND(LEFT(O49,5)="Paytm",(N(S49)*N(T49)+N(W49)*N(X49)+N(AA49)*N(AB49))&gt;0,AJ49&lt;0.5*(N(S49)*N(T49)+N(W49)*N(X49)+N(AA49)*N(AB49))),1,0)</f>
        <v>1</v>
      </c>
    </row>
    <row r="50" customFormat="false" ht="39.75" hidden="false" customHeight="true" outlineLevel="0" collapsed="false">
      <c r="A50" s="14" t="s">
        <v>244</v>
      </c>
      <c r="B50" s="15" t="n">
        <v>46289</v>
      </c>
      <c r="C50" s="16" t="s">
        <v>53</v>
      </c>
      <c r="D50" s="16" t="s">
        <v>103</v>
      </c>
      <c r="E50" s="16" t="s">
        <v>113</v>
      </c>
      <c r="F50" s="16" t="s">
        <v>191</v>
      </c>
      <c r="G50" s="16" t="s">
        <v>57</v>
      </c>
      <c r="H50" s="16" t="s">
        <v>245</v>
      </c>
      <c r="I50" s="16" t="s">
        <v>157</v>
      </c>
      <c r="J50" s="16" t="s">
        <v>193</v>
      </c>
      <c r="K50" s="16" t="s">
        <v>119</v>
      </c>
      <c r="L50" s="16" t="s">
        <v>245</v>
      </c>
      <c r="M50" s="16" t="s">
        <v>150</v>
      </c>
      <c r="N50" s="16" t="s">
        <v>63</v>
      </c>
      <c r="O50" s="16" t="s">
        <v>120</v>
      </c>
      <c r="P50" s="16" t="s">
        <v>65</v>
      </c>
      <c r="Q50" s="17" t="n">
        <v>220000</v>
      </c>
      <c r="R50" s="16" t="s">
        <v>66</v>
      </c>
      <c r="S50" s="16" t="n">
        <v>3</v>
      </c>
      <c r="T50" s="17" t="n">
        <v>50000</v>
      </c>
      <c r="U50" s="16" t="s">
        <v>81</v>
      </c>
      <c r="V50" s="16" t="s">
        <v>80</v>
      </c>
      <c r="W50" s="16" t="n">
        <v>1</v>
      </c>
      <c r="X50" s="17" t="n">
        <v>18000</v>
      </c>
      <c r="Y50" s="16" t="s">
        <v>57</v>
      </c>
      <c r="Z50" s="16"/>
      <c r="AA50" s="16"/>
      <c r="AB50" s="17"/>
      <c r="AC50" s="16"/>
      <c r="AD50" s="16" t="s">
        <v>121</v>
      </c>
      <c r="AE50" s="16" t="s">
        <v>69</v>
      </c>
      <c r="AF50" s="16" t="n">
        <v>3</v>
      </c>
      <c r="AG50" s="16" t="s">
        <v>70</v>
      </c>
      <c r="AH50" s="16" t="s">
        <v>70</v>
      </c>
      <c r="AI50" s="18" t="n">
        <f aca="false">IF(AND(U50&lt;&gt;"",U50&lt;&gt;"Cash",U50&lt;&gt;"Bank transfer (NEFT/RTGS)"),N(S50)*N(T50),0)+IF(AND(Y50&lt;&gt;"",Y50&lt;&gt;"Cash",Y50&lt;&gt;"Bank transfer (NEFT/RTGS)"),N(W50)*N(X50),0)+IF(AND(AC50&lt;&gt;"",AC50&lt;&gt;"Cash",AC50&lt;&gt;"Bank transfer (NEFT/RTGS)"),N(AA50)*N(AB50),0)</f>
        <v>18000</v>
      </c>
      <c r="AJ50" s="18" t="n">
        <f aca="false">IF(U50="Paytm",N(S50)*N(T50),0)+IF(Y50="Paytm",N(W50)*N(X50),0)+IF(AC50="Paytm",N(AA50)*N(AB50),0)</f>
        <v>0</v>
      </c>
      <c r="AK50" s="19" t="n">
        <f aca="false">IF(AI50&gt;0,AJ50/AI50,"")</f>
        <v>0</v>
      </c>
      <c r="AL50" s="20" t="n">
        <f aca="false">IF(AND(LEFT(O50,5)="Paytm",(N(S50)*N(T50)+N(W50)*N(X50)+N(AA50)*N(AB50))&gt;0,AJ50&lt;0.5*(N(S50)*N(T50)+N(W50)*N(X50)+N(AA50)*N(AB50))),1,0)</f>
        <v>0</v>
      </c>
    </row>
    <row r="51" customFormat="false" ht="39.75" hidden="false" customHeight="true" outlineLevel="0" collapsed="false">
      <c r="A51" s="14" t="s">
        <v>246</v>
      </c>
      <c r="B51" s="15" t="n">
        <v>46289</v>
      </c>
      <c r="C51" s="16" t="s">
        <v>53</v>
      </c>
      <c r="D51" s="16" t="s">
        <v>54</v>
      </c>
      <c r="E51" s="16" t="s">
        <v>86</v>
      </c>
      <c r="F51" s="16" t="s">
        <v>87</v>
      </c>
      <c r="G51" s="16" t="s">
        <v>57</v>
      </c>
      <c r="H51" s="16"/>
      <c r="I51" s="16" t="s">
        <v>59</v>
      </c>
      <c r="J51" s="16" t="s">
        <v>89</v>
      </c>
      <c r="K51" s="16" t="s">
        <v>90</v>
      </c>
      <c r="L51" s="16" t="s">
        <v>247</v>
      </c>
      <c r="M51" s="16" t="s">
        <v>150</v>
      </c>
      <c r="N51" s="16"/>
      <c r="O51" s="16" t="s">
        <v>64</v>
      </c>
      <c r="P51" s="16" t="s">
        <v>128</v>
      </c>
      <c r="Q51" s="17" t="n">
        <v>160000</v>
      </c>
      <c r="R51" s="16" t="s">
        <v>92</v>
      </c>
      <c r="S51" s="16" t="n">
        <v>30</v>
      </c>
      <c r="T51" s="17" t="n">
        <v>4000</v>
      </c>
      <c r="U51" s="16" t="s">
        <v>68</v>
      </c>
      <c r="V51" s="16" t="s">
        <v>92</v>
      </c>
      <c r="W51" s="16" t="n">
        <v>30</v>
      </c>
      <c r="X51" s="17" t="n">
        <v>1000</v>
      </c>
      <c r="Y51" s="16" t="s">
        <v>57</v>
      </c>
      <c r="Z51" s="16"/>
      <c r="AA51" s="16"/>
      <c r="AB51" s="17"/>
      <c r="AC51" s="16"/>
      <c r="AD51" s="16" t="s">
        <v>89</v>
      </c>
      <c r="AE51" s="16" t="s">
        <v>69</v>
      </c>
      <c r="AF51" s="16" t="n">
        <v>5</v>
      </c>
      <c r="AG51" s="16" t="s">
        <v>70</v>
      </c>
      <c r="AH51" s="16" t="s">
        <v>70</v>
      </c>
      <c r="AI51" s="18" t="n">
        <f aca="false">IF(AND(U51&lt;&gt;"",U51&lt;&gt;"Cash",U51&lt;&gt;"Bank transfer (NEFT/RTGS)"),N(S51)*N(T51),0)+IF(AND(Y51&lt;&gt;"",Y51&lt;&gt;"Cash",Y51&lt;&gt;"Bank transfer (NEFT/RTGS)"),N(W51)*N(X51),0)+IF(AND(AC51&lt;&gt;"",AC51&lt;&gt;"Cash",AC51&lt;&gt;"Bank transfer (NEFT/RTGS)"),N(AA51)*N(AB51),0)</f>
        <v>30000</v>
      </c>
      <c r="AJ51" s="18" t="n">
        <f aca="false">IF(U51="Paytm",N(S51)*N(T51),0)+IF(Y51="Paytm",N(W51)*N(X51),0)+IF(AC51="Paytm",N(AA51)*N(AB51),0)</f>
        <v>0</v>
      </c>
      <c r="AK51" s="19" t="n">
        <f aca="false">IF(AI51&gt;0,AJ51/AI51,"")</f>
        <v>0</v>
      </c>
      <c r="AL51" s="20" t="n">
        <f aca="false">IF(AND(LEFT(O51,5)="Paytm",(N(S51)*N(T51)+N(W51)*N(X51)+N(AA51)*N(AB51))&gt;0,AJ51&lt;0.5*(N(S51)*N(T51)+N(W51)*N(X51)+N(AA51)*N(AB51))),1,0)</f>
        <v>1</v>
      </c>
    </row>
    <row r="52" customFormat="false" ht="39.75" hidden="false" customHeight="true" outlineLevel="0" collapsed="false">
      <c r="A52" s="14" t="s">
        <v>248</v>
      </c>
      <c r="B52" s="15" t="n">
        <v>46289</v>
      </c>
      <c r="C52" s="16" t="s">
        <v>53</v>
      </c>
      <c r="D52" s="16" t="s">
        <v>131</v>
      </c>
      <c r="E52" s="16" t="s">
        <v>132</v>
      </c>
      <c r="F52" s="16" t="s">
        <v>249</v>
      </c>
      <c r="G52" s="16" t="s">
        <v>74</v>
      </c>
      <c r="H52" s="16"/>
      <c r="I52" s="16" t="s">
        <v>59</v>
      </c>
      <c r="J52" s="16" t="s">
        <v>60</v>
      </c>
      <c r="K52" s="16" t="s">
        <v>61</v>
      </c>
      <c r="L52" s="16" t="s">
        <v>250</v>
      </c>
      <c r="M52" s="16" t="s">
        <v>150</v>
      </c>
      <c r="N52" s="16" t="s">
        <v>63</v>
      </c>
      <c r="O52" s="16" t="s">
        <v>64</v>
      </c>
      <c r="P52" s="16" t="s">
        <v>65</v>
      </c>
      <c r="Q52" s="17" t="n">
        <v>75000</v>
      </c>
      <c r="R52" s="16" t="s">
        <v>66</v>
      </c>
      <c r="S52" s="16" t="n">
        <v>2</v>
      </c>
      <c r="T52" s="17" t="n">
        <v>25000</v>
      </c>
      <c r="U52" s="16" t="s">
        <v>74</v>
      </c>
      <c r="V52" s="16" t="s">
        <v>80</v>
      </c>
      <c r="W52" s="16" t="n">
        <v>1</v>
      </c>
      <c r="X52" s="17" t="n">
        <v>12000</v>
      </c>
      <c r="Y52" s="16" t="s">
        <v>68</v>
      </c>
      <c r="Z52" s="16"/>
      <c r="AA52" s="16"/>
      <c r="AB52" s="17"/>
      <c r="AC52" s="16"/>
      <c r="AD52" s="16" t="s">
        <v>60</v>
      </c>
      <c r="AE52" s="16" t="s">
        <v>69</v>
      </c>
      <c r="AF52" s="16" t="n">
        <v>5</v>
      </c>
      <c r="AG52" s="16" t="s">
        <v>70</v>
      </c>
      <c r="AH52" s="16" t="s">
        <v>69</v>
      </c>
      <c r="AI52" s="18" t="n">
        <f aca="false">IF(AND(U52&lt;&gt;"",U52&lt;&gt;"Cash",U52&lt;&gt;"Bank transfer (NEFT/RTGS)"),N(S52)*N(T52),0)+IF(AND(Y52&lt;&gt;"",Y52&lt;&gt;"Cash",Y52&lt;&gt;"Bank transfer (NEFT/RTGS)"),N(W52)*N(X52),0)+IF(AND(AC52&lt;&gt;"",AC52&lt;&gt;"Cash",AC52&lt;&gt;"Bank transfer (NEFT/RTGS)"),N(AA52)*N(AB52),0)</f>
        <v>50000</v>
      </c>
      <c r="AJ52" s="18" t="n">
        <f aca="false">IF(U52="Paytm",N(S52)*N(T52),0)+IF(Y52="Paytm",N(W52)*N(X52),0)+IF(AC52="Paytm",N(AA52)*N(AB52),0)</f>
        <v>0</v>
      </c>
      <c r="AK52" s="19" t="n">
        <f aca="false">IF(AI52&gt;0,AJ52/AI52,"")</f>
        <v>0</v>
      </c>
      <c r="AL52" s="20" t="n">
        <f aca="false">IF(AND(LEFT(O52,5)="Paytm",(N(S52)*N(T52)+N(W52)*N(X52)+N(AA52)*N(AB52))&gt;0,AJ52&lt;0.5*(N(S52)*N(T52)+N(W52)*N(X52)+N(AA52)*N(AB52))),1,0)</f>
        <v>1</v>
      </c>
    </row>
    <row r="53" customFormat="false" ht="39.75" hidden="false" customHeight="true" outlineLevel="0" collapsed="false">
      <c r="A53" s="14" t="s">
        <v>251</v>
      </c>
      <c r="B53" s="15" t="n">
        <v>46289</v>
      </c>
      <c r="C53" s="16" t="s">
        <v>53</v>
      </c>
      <c r="D53" s="16" t="s">
        <v>152</v>
      </c>
      <c r="E53" s="16" t="s">
        <v>95</v>
      </c>
      <c r="F53" s="16" t="s">
        <v>174</v>
      </c>
      <c r="G53" s="16" t="s">
        <v>57</v>
      </c>
      <c r="H53" s="16" t="s">
        <v>252</v>
      </c>
      <c r="I53" s="16" t="s">
        <v>149</v>
      </c>
      <c r="J53" s="16" t="s">
        <v>77</v>
      </c>
      <c r="K53" s="16" t="s">
        <v>139</v>
      </c>
      <c r="L53" s="16" t="s">
        <v>252</v>
      </c>
      <c r="M53" s="16" t="s">
        <v>150</v>
      </c>
      <c r="N53" s="16"/>
      <c r="O53" s="16" t="s">
        <v>79</v>
      </c>
      <c r="P53" s="16" t="s">
        <v>91</v>
      </c>
      <c r="Q53" s="17" t="n">
        <v>95000</v>
      </c>
      <c r="R53" s="16" t="s">
        <v>66</v>
      </c>
      <c r="S53" s="16" t="n">
        <v>30</v>
      </c>
      <c r="T53" s="17" t="n">
        <v>2500</v>
      </c>
      <c r="U53" s="16" t="s">
        <v>68</v>
      </c>
      <c r="V53" s="16" t="s">
        <v>80</v>
      </c>
      <c r="W53" s="16" t="n">
        <v>1</v>
      </c>
      <c r="X53" s="17" t="n">
        <v>8000</v>
      </c>
      <c r="Y53" s="16" t="s">
        <v>57</v>
      </c>
      <c r="Z53" s="16"/>
      <c r="AA53" s="16"/>
      <c r="AB53" s="17"/>
      <c r="AC53" s="16"/>
      <c r="AD53" s="16" t="s">
        <v>82</v>
      </c>
      <c r="AE53" s="16" t="s">
        <v>69</v>
      </c>
      <c r="AF53" s="16" t="n">
        <v>3</v>
      </c>
      <c r="AG53" s="16" t="s">
        <v>69</v>
      </c>
      <c r="AH53" s="16" t="s">
        <v>70</v>
      </c>
      <c r="AI53" s="18" t="n">
        <f aca="false">IF(AND(U53&lt;&gt;"",U53&lt;&gt;"Cash",U53&lt;&gt;"Bank transfer (NEFT/RTGS)"),N(S53)*N(T53),0)+IF(AND(Y53&lt;&gt;"",Y53&lt;&gt;"Cash",Y53&lt;&gt;"Bank transfer (NEFT/RTGS)"),N(W53)*N(X53),0)+IF(AND(AC53&lt;&gt;"",AC53&lt;&gt;"Cash",AC53&lt;&gt;"Bank transfer (NEFT/RTGS)"),N(AA53)*N(AB53),0)</f>
        <v>8000</v>
      </c>
      <c r="AJ53" s="18" t="n">
        <f aca="false">IF(U53="Paytm",N(S53)*N(T53),0)+IF(Y53="Paytm",N(W53)*N(X53),0)+IF(AC53="Paytm",N(AA53)*N(AB53),0)</f>
        <v>0</v>
      </c>
      <c r="AK53" s="19" t="n">
        <f aca="false">IF(AI53&gt;0,AJ53/AI53,"")</f>
        <v>0</v>
      </c>
      <c r="AL53" s="20" t="n">
        <f aca="false">IF(AND(LEFT(O53,5)="Paytm",(N(S53)*N(T53)+N(W53)*N(X53)+N(AA53)*N(AB53))&gt;0,AJ53&lt;0.5*(N(S53)*N(T53)+N(W53)*N(X53)+N(AA53)*N(AB53))),1,0)</f>
        <v>1</v>
      </c>
    </row>
    <row r="54" customFormat="false" ht="39.75" hidden="false" customHeight="true" outlineLevel="0" collapsed="false">
      <c r="A54" s="14" t="s">
        <v>253</v>
      </c>
      <c r="B54" s="15" t="n">
        <v>46289</v>
      </c>
      <c r="C54" s="16" t="s">
        <v>53</v>
      </c>
      <c r="D54" s="16" t="s">
        <v>179</v>
      </c>
      <c r="E54" s="16" t="s">
        <v>55</v>
      </c>
      <c r="F54" s="16" t="s">
        <v>96</v>
      </c>
      <c r="G54" s="16" t="s">
        <v>57</v>
      </c>
      <c r="H54" s="16" t="s">
        <v>254</v>
      </c>
      <c r="I54" s="16" t="s">
        <v>59</v>
      </c>
      <c r="J54" s="16" t="s">
        <v>60</v>
      </c>
      <c r="K54" s="16" t="s">
        <v>61</v>
      </c>
      <c r="L54" s="16" t="s">
        <v>254</v>
      </c>
      <c r="M54" s="16" t="s">
        <v>150</v>
      </c>
      <c r="N54" s="16" t="s">
        <v>63</v>
      </c>
      <c r="O54" s="16" t="s">
        <v>64</v>
      </c>
      <c r="P54" s="16" t="s">
        <v>65</v>
      </c>
      <c r="Q54" s="17" t="n">
        <v>200000</v>
      </c>
      <c r="R54" s="16" t="s">
        <v>66</v>
      </c>
      <c r="S54" s="16" t="n">
        <v>6</v>
      </c>
      <c r="T54" s="17" t="n">
        <v>22000</v>
      </c>
      <c r="U54" s="16" t="s">
        <v>57</v>
      </c>
      <c r="V54" s="16" t="s">
        <v>92</v>
      </c>
      <c r="W54" s="16" t="n">
        <v>30</v>
      </c>
      <c r="X54" s="17" t="n">
        <v>1200</v>
      </c>
      <c r="Y54" s="16" t="s">
        <v>74</v>
      </c>
      <c r="Z54" s="16"/>
      <c r="AA54" s="16"/>
      <c r="AB54" s="17"/>
      <c r="AC54" s="16"/>
      <c r="AD54" s="16" t="s">
        <v>60</v>
      </c>
      <c r="AE54" s="16" t="s">
        <v>69</v>
      </c>
      <c r="AF54" s="16" t="n">
        <v>5</v>
      </c>
      <c r="AG54" s="16" t="s">
        <v>70</v>
      </c>
      <c r="AH54" s="16" t="s">
        <v>83</v>
      </c>
      <c r="AI54" s="18" t="n">
        <f aca="false">IF(AND(U54&lt;&gt;"",U54&lt;&gt;"Cash",U54&lt;&gt;"Bank transfer (NEFT/RTGS)"),N(S54)*N(T54),0)+IF(AND(Y54&lt;&gt;"",Y54&lt;&gt;"Cash",Y54&lt;&gt;"Bank transfer (NEFT/RTGS)"),N(W54)*N(X54),0)+IF(AND(AC54&lt;&gt;"",AC54&lt;&gt;"Cash",AC54&lt;&gt;"Bank transfer (NEFT/RTGS)"),N(AA54)*N(AB54),0)</f>
        <v>168000</v>
      </c>
      <c r="AJ54" s="18" t="n">
        <f aca="false">IF(U54="Paytm",N(S54)*N(T54),0)+IF(Y54="Paytm",N(W54)*N(X54),0)+IF(AC54="Paytm",N(AA54)*N(AB54),0)</f>
        <v>0</v>
      </c>
      <c r="AK54" s="19" t="n">
        <f aca="false">IF(AI54&gt;0,AJ54/AI54,"")</f>
        <v>0</v>
      </c>
      <c r="AL54" s="20" t="n">
        <f aca="false">IF(AND(LEFT(O54,5)="Paytm",(N(S54)*N(T54)+N(W54)*N(X54)+N(AA54)*N(AB54))&gt;0,AJ54&lt;0.5*(N(S54)*N(T54)+N(W54)*N(X54)+N(AA54)*N(AB54))),1,0)</f>
        <v>1</v>
      </c>
    </row>
  </sheetData>
  <autoFilter ref="A4:AL54"/>
  <mergeCells count="1">
    <mergeCell ref="A2:L2"/>
  </mergeCells>
  <dataValidations count="19">
    <dataValidation allowBlank="false" errorStyle="stop" operator="between" showDropDown="false" showErrorMessage="false" showInputMessage="false" sqref="C5:C54" type="list">
      <formula1>"Consumer,Merchant"</formula1>
      <formula2>0</formula2>
    </dataValidation>
    <dataValidation allowBlank="true" errorStyle="stop" operator="between" showDropDown="false" showErrorMessage="false" showInputMessage="false" sqref="M5:M54" type="list">
      <formula1>Lists!$A$2:$A$3</formula1>
      <formula2>0</formula2>
    </dataValidation>
    <dataValidation allowBlank="true" errorStyle="stop" operator="between" showDropDown="false" showErrorMessage="false" showInputMessage="false" sqref="N5:N54" type="list">
      <formula1>Lists!$B$2:$B$4</formula1>
      <formula2>0</formula2>
    </dataValidation>
    <dataValidation allowBlank="true" errorStyle="stop" operator="between" showDropDown="false" showErrorMessage="false" showInputMessage="false" sqref="O5:O54" type="list">
      <formula1>Lists!$C$2:$C$7</formula1>
      <formula2>0</formula2>
    </dataValidation>
    <dataValidation allowBlank="true" errorStyle="stop" operator="between" showDropDown="false" showErrorMessage="false" showInputMessage="false" sqref="P5:P54" type="list">
      <formula1>Lists!$D$2:$D$5</formula1>
      <formula2>0</formula2>
    </dataValidation>
    <dataValidation allowBlank="true" errorStyle="stop" operator="greaterThanOrEqual" showDropDown="false" showErrorMessage="false" showInputMessage="false" sqref="Q5:Q54 S5:T54 W5:X54 AA5:AB54" type="decimal">
      <formula1>0</formula1>
      <formula2>0</formula2>
    </dataValidation>
    <dataValidation allowBlank="true" errorStyle="stop" operator="between" showDropDown="false" showErrorMessage="false" showInputMessage="false" sqref="R5:R54" type="list">
      <formula1>Lists!$E$2:$E$10</formula1>
      <formula2>0</formula2>
    </dataValidation>
    <dataValidation allowBlank="true" errorStyle="stop" operator="between" showDropDown="false" showErrorMessage="false" showInputMessage="false" sqref="U5:U54" type="list">
      <formula1>Lists!$F$2:$F$10</formula1>
      <formula2>0</formula2>
    </dataValidation>
    <dataValidation allowBlank="true" errorStyle="stop" operator="between" showDropDown="false" showErrorMessage="false" showInputMessage="false" sqref="V5:V54" type="list">
      <formula1>Lists!$E$2:$E$10</formula1>
      <formula2>0</formula2>
    </dataValidation>
    <dataValidation allowBlank="true" errorStyle="stop" operator="between" showDropDown="false" showErrorMessage="false" showInputMessage="false" sqref="Y5:Y54" type="list">
      <formula1>Lists!$F$2:$F$10</formula1>
      <formula2>0</formula2>
    </dataValidation>
    <dataValidation allowBlank="true" errorStyle="stop" operator="between" showDropDown="false" showErrorMessage="false" showInputMessage="false" sqref="Z5:Z54" type="list">
      <formula1>Lists!$E$2:$E$10</formula1>
      <formula2>0</formula2>
    </dataValidation>
    <dataValidation allowBlank="true" errorStyle="stop" operator="between" showDropDown="false" showErrorMessage="false" showInputMessage="false" sqref="AC5:AC54" type="list">
      <formula1>Lists!$F$2:$F$10</formula1>
      <formula2>0</formula2>
    </dataValidation>
    <dataValidation allowBlank="true" errorStyle="stop" operator="between" showDropDown="false" showErrorMessage="false" showInputMessage="false" sqref="AD5:AD54" type="list">
      <formula1>Lists!$G$2:$G$12</formula1>
      <formula2>0</formula2>
    </dataValidation>
    <dataValidation allowBlank="true" errorStyle="stop" operator="between" showDropDown="false" showErrorMessage="false" showInputMessage="false" sqref="AE5:AE54" type="list">
      <formula1>Lists!$H$2:$H$3</formula1>
      <formula2>0</formula2>
    </dataValidation>
    <dataValidation allowBlank="true" errorStyle="stop" operator="between" showDropDown="false" showErrorMessage="false" showInputMessage="false" sqref="AF5:AF54" type="list">
      <formula1>Lists!$K$2:$K$6</formula1>
      <formula2>0</formula2>
    </dataValidation>
    <dataValidation allowBlank="true" errorStyle="stop" operator="between" showDropDown="false" showErrorMessage="false" showInputMessage="false" sqref="AG5:AG54" type="list">
      <formula1>Lists!$I$2:$I$4</formula1>
      <formula2>0</formula2>
    </dataValidation>
    <dataValidation allowBlank="true" errorStyle="stop" operator="between" showDropDown="false" showErrorMessage="false" showInputMessage="false" sqref="AH5:AH54" type="list">
      <formula1>Lists!$J$2:$J$4</formula1>
      <formula2>0</formula2>
    </dataValidation>
    <dataValidation allowBlank="true" errorStyle="stop" operator="between" showDropDown="false" showErrorMessage="false" showInputMessage="false" sqref="E5:E54" type="list">
      <formula1>Lists!$L$2:$L$12</formula1>
      <formula2>0</formula2>
    </dataValidation>
    <dataValidation allowBlank="true" errorStyle="stop" operator="between" showDropDown="false" showErrorMessage="false" showInputMessage="false" sqref="G5:G54" type="list">
      <formula1>Lists!$M$2:$M$8</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tableParts>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false"/>
  </sheetPr>
  <dimension ref="A1:G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3" min="2" style="1" width="16"/>
    <col collapsed="false" customWidth="true" hidden="false" outlineLevel="0" max="4" min="4" style="1" width="3"/>
    <col collapsed="false" customWidth="true" hidden="false" outlineLevel="0" max="5" min="5" style="1" width="40"/>
    <col collapsed="false" customWidth="true" hidden="false" outlineLevel="0" max="7" min="6" style="1" width="16"/>
  </cols>
  <sheetData>
    <row r="1" customFormat="false" ht="19.5" hidden="false" customHeight="true" outlineLevel="0" collapsed="false">
      <c r="A1" s="21" t="s">
        <v>255</v>
      </c>
    </row>
    <row r="2" customFormat="false" ht="15" hidden="false" customHeight="true" outlineLevel="0" collapsed="false">
      <c r="A2" s="22" t="s">
        <v>256</v>
      </c>
    </row>
    <row r="4" customFormat="false" ht="15" hidden="false" customHeight="true" outlineLevel="0" collapsed="false">
      <c r="A4" s="23" t="s">
        <v>257</v>
      </c>
      <c r="B4" s="24"/>
      <c r="C4" s="24"/>
      <c r="E4" s="23" t="s">
        <v>258</v>
      </c>
      <c r="F4" s="24"/>
      <c r="G4" s="24"/>
    </row>
    <row r="5" customFormat="false" ht="15" hidden="false" customHeight="true" outlineLevel="0" collapsed="false">
      <c r="A5" s="25" t="s">
        <v>259</v>
      </c>
      <c r="B5" s="26" t="n">
        <f aca="false">COUNTIF('VOC Collection'!$D$5:$D$54,"?*")</f>
        <v>50</v>
      </c>
      <c r="E5" s="27" t="s">
        <v>260</v>
      </c>
      <c r="F5" s="27" t="s">
        <v>261</v>
      </c>
      <c r="G5" s="27" t="s">
        <v>262</v>
      </c>
    </row>
    <row r="6" customFormat="false" ht="15" hidden="false" customHeight="true" outlineLevel="0" collapsed="false">
      <c r="A6" s="25" t="s">
        <v>263</v>
      </c>
      <c r="B6" s="26" t="n">
        <f aca="false">COUNTIF('VOC Collection'!$C$5:$C$54,"Merchant")</f>
        <v>50</v>
      </c>
      <c r="E6" s="28" t="s">
        <v>57</v>
      </c>
      <c r="F6" s="29" t="n">
        <f aca="false">SUMPRODUCT(('VOC Collection'!$U$5:$U$54=E6)*('VOC Collection'!$S$5:$S$54)*('VOC Collection'!$T$5:$T$54))+SUMPRODUCT(('VOC Collection'!$Y$5:$Y$54=E6)*('VOC Collection'!$W$5:$W$54)*('VOC Collection'!$X$5:$X$54))+SUMPRODUCT(('VOC Collection'!$AC$5:$AC$54=E6)*('VOC Collection'!$AA$5:$AA$54)*('VOC Collection'!$AB$5:$AB$54))</f>
        <v>2473000</v>
      </c>
      <c r="G6" s="30" t="n">
        <f aca="false">IFERROR(F6/SUM($F$6:$F$14),0)</f>
        <v>0.303584581389639</v>
      </c>
    </row>
    <row r="7" customFormat="false" ht="15" hidden="false" customHeight="true" outlineLevel="0" collapsed="false">
      <c r="A7" s="25" t="s">
        <v>264</v>
      </c>
      <c r="B7" s="26" t="n">
        <f aca="false">COUNTIF('VOC Collection'!$M$5:$M$54,"In-depth*")</f>
        <v>10</v>
      </c>
      <c r="E7" s="28" t="s">
        <v>74</v>
      </c>
      <c r="F7" s="29" t="n">
        <f aca="false">SUMPRODUCT(('VOC Collection'!$U$5:$U$54=E7)*('VOC Collection'!$S$5:$S$54)*('VOC Collection'!$T$5:$T$54))+SUMPRODUCT(('VOC Collection'!$Y$5:$Y$54=E7)*('VOC Collection'!$W$5:$W$54)*('VOC Collection'!$X$5:$X$54))+SUMPRODUCT(('VOC Collection'!$AC$5:$AC$54=E7)*('VOC Collection'!$AA$5:$AA$54)*('VOC Collection'!$AB$5:$AB$54))</f>
        <v>2775000</v>
      </c>
      <c r="G7" s="30" t="n">
        <f aca="false">IFERROR(F7/SUM($F$6:$F$14),0)</f>
        <v>0.340657991652345</v>
      </c>
    </row>
    <row r="8" customFormat="false" ht="15" hidden="false" customHeight="true" outlineLevel="0" collapsed="false">
      <c r="A8" s="25" t="s">
        <v>265</v>
      </c>
      <c r="B8" s="26" t="n">
        <f aca="false">SUMPRODUCT(('VOC Collection'!$D$5:$D$54&lt;&gt;"")/COUNTIF('VOC Collection'!$D$5:$D$54,'VOC Collection'!$D$5:$D$54&amp;""))</f>
        <v>12</v>
      </c>
      <c r="E8" s="28" t="s">
        <v>266</v>
      </c>
      <c r="F8" s="29" t="n">
        <f aca="false">SUMPRODUCT(('VOC Collection'!$U$5:$U$54=E8)*('VOC Collection'!$S$5:$S$54)*('VOC Collection'!$T$5:$T$54))+SUMPRODUCT(('VOC Collection'!$Y$5:$Y$54=E8)*('VOC Collection'!$W$5:$W$54)*('VOC Collection'!$X$5:$X$54))+SUMPRODUCT(('VOC Collection'!$AC$5:$AC$54=E8)*('VOC Collection'!$AA$5:$AA$54)*('VOC Collection'!$AB$5:$AB$54))</f>
        <v>0</v>
      </c>
      <c r="G8" s="30" t="n">
        <f aca="false">IFERROR(F8/SUM($F$6:$F$14),0)</f>
        <v>0</v>
      </c>
    </row>
    <row r="9" customFormat="false" ht="15" hidden="false" customHeight="true" outlineLevel="0" collapsed="false">
      <c r="A9" s="25" t="s">
        <v>267</v>
      </c>
      <c r="B9" s="26" t="n">
        <f aca="false">SUMPRODUCT(('VOC Collection'!$E$5:$E$54&lt;&gt;"")/COUNTIF('VOC Collection'!$E$5:$E$54,'VOC Collection'!$E$5:$E$54&amp;""))</f>
        <v>9</v>
      </c>
      <c r="E9" s="28" t="s">
        <v>268</v>
      </c>
      <c r="F9" s="29" t="n">
        <f aca="false">SUMPRODUCT(('VOC Collection'!$U$5:$U$54=E9)*('VOC Collection'!$S$5:$S$54)*('VOC Collection'!$T$5:$T$54))+SUMPRODUCT(('VOC Collection'!$Y$5:$Y$54=E9)*('VOC Collection'!$W$5:$W$54)*('VOC Collection'!$X$5:$X$54))+SUMPRODUCT(('VOC Collection'!$AC$5:$AC$54=E9)*('VOC Collection'!$AA$5:$AA$54)*('VOC Collection'!$AB$5:$AB$54))</f>
        <v>0</v>
      </c>
      <c r="G9" s="30" t="n">
        <f aca="false">IFERROR(F9/SUM($F$6:$F$14),0)</f>
        <v>0</v>
      </c>
    </row>
    <row r="10" customFormat="false" ht="15" hidden="false" customHeight="true" outlineLevel="0" collapsed="false">
      <c r="A10" s="25" t="s">
        <v>269</v>
      </c>
      <c r="B10" s="26" t="n">
        <f aca="false">COUNTIF('VOC Collection'!$N$5:$N$54,"?*")</f>
        <v>32</v>
      </c>
      <c r="E10" s="28" t="s">
        <v>270</v>
      </c>
      <c r="F10" s="29" t="n">
        <f aca="false">SUMPRODUCT(('VOC Collection'!$U$5:$U$54=E10)*('VOC Collection'!$S$5:$S$54)*('VOC Collection'!$T$5:$T$54))+SUMPRODUCT(('VOC Collection'!$Y$5:$Y$54=E10)*('VOC Collection'!$W$5:$W$54)*('VOC Collection'!$X$5:$X$54))+SUMPRODUCT(('VOC Collection'!$AC$5:$AC$54=E10)*('VOC Collection'!$AA$5:$AA$54)*('VOC Collection'!$AB$5:$AB$54))</f>
        <v>0</v>
      </c>
      <c r="G10" s="30" t="n">
        <f aca="false">IFERROR(F10/SUM($F$6:$F$14),0)</f>
        <v>0</v>
      </c>
    </row>
    <row r="11" customFormat="false" ht="15" hidden="false" customHeight="true" outlineLevel="0" collapsed="false">
      <c r="E11" s="28" t="s">
        <v>271</v>
      </c>
      <c r="F11" s="29" t="n">
        <f aca="false">SUMPRODUCT(('VOC Collection'!$U$5:$U$54=E11)*('VOC Collection'!$S$5:$S$54)*('VOC Collection'!$T$5:$T$54))+SUMPRODUCT(('VOC Collection'!$Y$5:$Y$54=E11)*('VOC Collection'!$W$5:$W$54)*('VOC Collection'!$X$5:$X$54))+SUMPRODUCT(('VOC Collection'!$AC$5:$AC$54=E11)*('VOC Collection'!$AA$5:$AA$54)*('VOC Collection'!$AB$5:$AB$54))</f>
        <v>0</v>
      </c>
      <c r="G11" s="30" t="n">
        <f aca="false">IFERROR(F11/SUM($F$6:$F$14),0)</f>
        <v>0</v>
      </c>
    </row>
    <row r="12" customFormat="false" ht="15" hidden="false" customHeight="true" outlineLevel="0" collapsed="false">
      <c r="A12" s="23" t="s">
        <v>272</v>
      </c>
      <c r="B12" s="24"/>
      <c r="C12" s="24"/>
      <c r="E12" s="28" t="s">
        <v>273</v>
      </c>
      <c r="F12" s="29" t="n">
        <f aca="false">SUMPRODUCT(('VOC Collection'!$U$5:$U$54=E12)*('VOC Collection'!$S$5:$S$54)*('VOC Collection'!$T$5:$T$54))+SUMPRODUCT(('VOC Collection'!$Y$5:$Y$54=E12)*('VOC Collection'!$W$5:$W$54)*('VOC Collection'!$X$5:$X$54))+SUMPRODUCT(('VOC Collection'!$AC$5:$AC$54=E12)*('VOC Collection'!$AA$5:$AA$54)*('VOC Collection'!$AB$5:$AB$54))</f>
        <v>0</v>
      </c>
      <c r="G12" s="30" t="n">
        <f aca="false">IFERROR(F12/SUM($F$6:$F$14),0)</f>
        <v>0</v>
      </c>
    </row>
    <row r="13" customFormat="false" ht="21.75" hidden="false" customHeight="true" outlineLevel="0" collapsed="false">
      <c r="A13" s="25" t="s">
        <v>274</v>
      </c>
      <c r="B13" s="26" t="n">
        <f aca="false">COUNTIF('VOC Collection'!$O$5:$O$54,"Paytm*")</f>
        <v>39</v>
      </c>
      <c r="E13" s="28" t="s">
        <v>68</v>
      </c>
      <c r="F13" s="29" t="n">
        <f aca="false">SUMPRODUCT(('VOC Collection'!$U$5:$U$54=E13)*('VOC Collection'!$S$5:$S$54)*('VOC Collection'!$T$5:$T$54))+SUMPRODUCT(('VOC Collection'!$Y$5:$Y$54=E13)*('VOC Collection'!$W$5:$W$54)*('VOC Collection'!$X$5:$X$54))+SUMPRODUCT(('VOC Collection'!$AC$5:$AC$54=E13)*('VOC Collection'!$AA$5:$AA$54)*('VOC Collection'!$AB$5:$AB$54))</f>
        <v>1053000</v>
      </c>
      <c r="G13" s="30" t="n">
        <f aca="false">IFERROR(F13/SUM($F$6:$F$14),0)</f>
        <v>0.129265897372944</v>
      </c>
    </row>
    <row r="14" customFormat="false" ht="21.75" hidden="false" customHeight="true" outlineLevel="0" collapsed="false">
      <c r="A14" s="25" t="s">
        <v>275</v>
      </c>
      <c r="B14" s="26" t="n">
        <f aca="false">SUM('VOC Collection'!$AL$5:$AL$54)</f>
        <v>39</v>
      </c>
      <c r="E14" s="28" t="s">
        <v>81</v>
      </c>
      <c r="F14" s="29" t="n">
        <f aca="false">SUMPRODUCT(('VOC Collection'!$U$5:$U$54=E14)*('VOC Collection'!$S$5:$S$54)*('VOC Collection'!$T$5:$T$54))+SUMPRODUCT(('VOC Collection'!$Y$5:$Y$54=E14)*('VOC Collection'!$W$5:$W$54)*('VOC Collection'!$X$5:$X$54))+SUMPRODUCT(('VOC Collection'!$AC$5:$AC$54=E14)*('VOC Collection'!$AA$5:$AA$54)*('VOC Collection'!$AB$5:$AB$54))</f>
        <v>1845000</v>
      </c>
      <c r="G14" s="30" t="n">
        <f aca="false">IFERROR(F14/SUM($F$6:$F$14),0)</f>
        <v>0.226491529585072</v>
      </c>
    </row>
    <row r="15" customFormat="false" ht="15" hidden="false" customHeight="true" outlineLevel="0" collapsed="false">
      <c r="A15" s="25" t="s">
        <v>276</v>
      </c>
      <c r="B15" s="31" t="n">
        <f aca="false">IFERROR(B14/B13,0)</f>
        <v>1</v>
      </c>
    </row>
    <row r="16" customFormat="false" ht="15" hidden="false" customHeight="true" outlineLevel="0" collapsed="false">
      <c r="A16" s="25" t="s">
        <v>277</v>
      </c>
      <c r="B16" s="26" t="n">
        <f aca="false">COUNTIF('VOC Collection'!$P$5:$P$54,"Owner*")</f>
        <v>32</v>
      </c>
      <c r="E16" s="23" t="s">
        <v>278</v>
      </c>
      <c r="F16" s="24"/>
      <c r="G16" s="24"/>
    </row>
    <row r="17" customFormat="false" ht="15" hidden="false" customHeight="true" outlineLevel="0" collapsed="false">
      <c r="A17" s="25" t="s">
        <v>110</v>
      </c>
      <c r="B17" s="26" t="n">
        <f aca="false">COUNTIF('VOC Collection'!$AE$5:$AE$54,"No")</f>
        <v>40</v>
      </c>
      <c r="E17" s="27" t="s">
        <v>279</v>
      </c>
      <c r="F17" s="27" t="s">
        <v>261</v>
      </c>
      <c r="G17" s="27" t="s">
        <v>262</v>
      </c>
    </row>
    <row r="18" customFormat="false" ht="15" hidden="false" customHeight="true" outlineLevel="0" collapsed="false">
      <c r="E18" s="28" t="s">
        <v>66</v>
      </c>
      <c r="F18" s="29" t="n">
        <f aca="false">SUMPRODUCT(('VOC Collection'!$R$5:$R$54=E18)*('VOC Collection'!$S$5:$S$54)*('VOC Collection'!$T$5:$T$54))+SUMPRODUCT(('VOC Collection'!$V$5:$V$54=E18)*('VOC Collection'!$W$5:$W$54)*('VOC Collection'!$X$5:$X$54))+SUMPRODUCT(('VOC Collection'!$Z$5:$Z$54=E18)*('VOC Collection'!$AA$5:$AA$54)*('VOC Collection'!$AB$5:$AB$54))</f>
        <v>6493000</v>
      </c>
      <c r="G18" s="30" t="n">
        <f aca="false">IFERROR(F18/SUM($F$18:$F$26),0)</f>
        <v>0.797078320648171</v>
      </c>
    </row>
    <row r="19" customFormat="false" ht="15" hidden="false" customHeight="true" outlineLevel="0" collapsed="false">
      <c r="A19" s="23" t="s">
        <v>280</v>
      </c>
      <c r="B19" s="24"/>
      <c r="C19" s="24"/>
      <c r="E19" s="28" t="s">
        <v>281</v>
      </c>
      <c r="F19" s="29" t="n">
        <f aca="false">SUMPRODUCT(('VOC Collection'!$R$5:$R$54=E19)*('VOC Collection'!$S$5:$S$54)*('VOC Collection'!$T$5:$T$54))+SUMPRODUCT(('VOC Collection'!$V$5:$V$54=E19)*('VOC Collection'!$W$5:$W$54)*('VOC Collection'!$X$5:$X$54))+SUMPRODUCT(('VOC Collection'!$Z$5:$Z$54=E19)*('VOC Collection'!$AA$5:$AA$54)*('VOC Collection'!$AB$5:$AB$54))</f>
        <v>0</v>
      </c>
      <c r="G19" s="30" t="n">
        <f aca="false">IFERROR(F19/SUM($F$18:$F$26),0)</f>
        <v>0</v>
      </c>
    </row>
    <row r="20" customFormat="false" ht="15" hidden="false" customHeight="true" outlineLevel="0" collapsed="false">
      <c r="A20" s="25" t="s">
        <v>282</v>
      </c>
      <c r="B20" s="32" t="n">
        <f aca="false">SUM('VOC Collection'!$AI$5:$AI$54)</f>
        <v>5248000</v>
      </c>
      <c r="E20" s="28" t="s">
        <v>92</v>
      </c>
      <c r="F20" s="29" t="n">
        <f aca="false">SUMPRODUCT(('VOC Collection'!$R$5:$R$54=E20)*('VOC Collection'!$S$5:$S$54)*('VOC Collection'!$T$5:$T$54))+SUMPRODUCT(('VOC Collection'!$V$5:$V$54=E20)*('VOC Collection'!$W$5:$W$54)*('VOC Collection'!$X$5:$X$54))+SUMPRODUCT(('VOC Collection'!$Z$5:$Z$54=E20)*('VOC Collection'!$AA$5:$AA$54)*('VOC Collection'!$AB$5:$AB$54))</f>
        <v>1235000</v>
      </c>
      <c r="G20" s="30" t="n">
        <f aca="false">IFERROR(F20/SUM($F$18:$F$26),0)</f>
        <v>0.151608151239872</v>
      </c>
    </row>
    <row r="21" customFormat="false" ht="15" hidden="false" customHeight="true" outlineLevel="0" collapsed="false">
      <c r="A21" s="25" t="s">
        <v>283</v>
      </c>
      <c r="B21" s="32" t="n">
        <f aca="false">SUM('VOC Collection'!$AJ$5:$AJ$54)</f>
        <v>0</v>
      </c>
      <c r="E21" s="28" t="s">
        <v>80</v>
      </c>
      <c r="F21" s="29" t="n">
        <f aca="false">SUMPRODUCT(('VOC Collection'!$R$5:$R$54=E21)*('VOC Collection'!$S$5:$S$54)*('VOC Collection'!$T$5:$T$54))+SUMPRODUCT(('VOC Collection'!$V$5:$V$54=E21)*('VOC Collection'!$W$5:$W$54)*('VOC Collection'!$X$5:$X$54))+SUMPRODUCT(('VOC Collection'!$Z$5:$Z$54=E21)*('VOC Collection'!$AA$5:$AA$54)*('VOC Collection'!$AB$5:$AB$54))</f>
        <v>290000</v>
      </c>
      <c r="G21" s="30" t="n">
        <f aca="false">IFERROR(F21/SUM($F$18:$F$26),0)</f>
        <v>0.0356002946231279</v>
      </c>
    </row>
    <row r="22" customFormat="false" ht="15" hidden="false" customHeight="true" outlineLevel="0" collapsed="false">
      <c r="A22" s="25" t="s">
        <v>284</v>
      </c>
      <c r="B22" s="33" t="n">
        <f aca="false">IFERROR(B21/B20,0)</f>
        <v>0</v>
      </c>
      <c r="E22" s="28" t="s">
        <v>285</v>
      </c>
      <c r="F22" s="29" t="n">
        <f aca="false">SUMPRODUCT(('VOC Collection'!$R$5:$R$54=E22)*('VOC Collection'!$S$5:$S$54)*('VOC Collection'!$T$5:$T$54))+SUMPRODUCT(('VOC Collection'!$V$5:$V$54=E22)*('VOC Collection'!$W$5:$W$54)*('VOC Collection'!$X$5:$X$54))+SUMPRODUCT(('VOC Collection'!$Z$5:$Z$54=E22)*('VOC Collection'!$AA$5:$AA$54)*('VOC Collection'!$AB$5:$AB$54))</f>
        <v>0</v>
      </c>
      <c r="G22" s="30" t="n">
        <f aca="false">IFERROR(F22/SUM($F$18:$F$26),0)</f>
        <v>0</v>
      </c>
    </row>
    <row r="23" customFormat="false" ht="15" hidden="false" customHeight="true" outlineLevel="0" collapsed="false">
      <c r="A23" s="25" t="s">
        <v>286</v>
      </c>
      <c r="B23" s="32" t="n">
        <f aca="false">IFERROR(B20/COUNTIF('VOC Collection'!$AI$5:$AI$54,"&gt;0"),0)</f>
        <v>109333.333333333</v>
      </c>
      <c r="E23" s="28" t="s">
        <v>67</v>
      </c>
      <c r="F23" s="29" t="n">
        <f aca="false">SUMPRODUCT(('VOC Collection'!$R$5:$R$54=E23)*('VOC Collection'!$S$5:$S$54)*('VOC Collection'!$T$5:$T$54))+SUMPRODUCT(('VOC Collection'!$V$5:$V$54=E23)*('VOC Collection'!$W$5:$W$54)*('VOC Collection'!$X$5:$X$54))+SUMPRODUCT(('VOC Collection'!$Z$5:$Z$54=E23)*('VOC Collection'!$AA$5:$AA$54)*('VOC Collection'!$AB$5:$AB$54))</f>
        <v>128000</v>
      </c>
      <c r="G23" s="30" t="n">
        <f aca="false">IFERROR(F23/SUM($F$18:$F$26),0)</f>
        <v>0.0157132334888289</v>
      </c>
    </row>
    <row r="24" customFormat="false" ht="15" hidden="false" customHeight="true" outlineLevel="0" collapsed="false">
      <c r="A24" s="25" t="s">
        <v>287</v>
      </c>
      <c r="B24" s="32" t="n">
        <f aca="false">IFERROR(MEDIAN('VOC Collection'!$Q$5:$Q$54),0)</f>
        <v>180000</v>
      </c>
      <c r="E24" s="28" t="s">
        <v>288</v>
      </c>
      <c r="F24" s="29" t="n">
        <f aca="false">SUMPRODUCT(('VOC Collection'!$R$5:$R$54=E24)*('VOC Collection'!$S$5:$S$54)*('VOC Collection'!$T$5:$T$54))+SUMPRODUCT(('VOC Collection'!$V$5:$V$54=E24)*('VOC Collection'!$W$5:$W$54)*('VOC Collection'!$X$5:$X$54))+SUMPRODUCT(('VOC Collection'!$Z$5:$Z$54=E24)*('VOC Collection'!$AA$5:$AA$54)*('VOC Collection'!$AB$5:$AB$54))</f>
        <v>0</v>
      </c>
      <c r="G24" s="30" t="n">
        <f aca="false">IFERROR(F24/SUM($F$18:$F$26),0)</f>
        <v>0</v>
      </c>
    </row>
    <row r="25" customFormat="false" ht="15" hidden="false" customHeight="true" outlineLevel="0" collapsed="false">
      <c r="E25" s="28" t="s">
        <v>289</v>
      </c>
      <c r="F25" s="29" t="n">
        <f aca="false">SUMPRODUCT(('VOC Collection'!$R$5:$R$54=E25)*('VOC Collection'!$S$5:$S$54)*('VOC Collection'!$T$5:$T$54))+SUMPRODUCT(('VOC Collection'!$V$5:$V$54=E25)*('VOC Collection'!$W$5:$W$54)*('VOC Collection'!$X$5:$X$54))+SUMPRODUCT(('VOC Collection'!$Z$5:$Z$54=E25)*('VOC Collection'!$AA$5:$AA$54)*('VOC Collection'!$AB$5:$AB$54))</f>
        <v>0</v>
      </c>
      <c r="G25" s="30" t="n">
        <f aca="false">IFERROR(F25/SUM($F$18:$F$26),0)</f>
        <v>0</v>
      </c>
    </row>
    <row r="26" customFormat="false" ht="15" hidden="false" customHeight="true" outlineLevel="0" collapsed="false">
      <c r="A26" s="23" t="s">
        <v>290</v>
      </c>
      <c r="B26" s="24"/>
      <c r="C26" s="24"/>
      <c r="E26" s="28" t="s">
        <v>129</v>
      </c>
      <c r="F26" s="29" t="n">
        <f aca="false">SUMPRODUCT(('VOC Collection'!$R$5:$R$54=E26)*('VOC Collection'!$S$5:$S$54)*('VOC Collection'!$T$5:$T$54))+SUMPRODUCT(('VOC Collection'!$V$5:$V$54=E26)*('VOC Collection'!$W$5:$W$54)*('VOC Collection'!$X$5:$X$54))+SUMPRODUCT(('VOC Collection'!$Z$5:$Z$54=E26)*('VOC Collection'!$AA$5:$AA$54)*('VOC Collection'!$AB$5:$AB$54))</f>
        <v>0</v>
      </c>
      <c r="G26" s="30" t="n">
        <f aca="false">IFERROR(F26/SUM($F$18:$F$26),0)</f>
        <v>0</v>
      </c>
    </row>
    <row r="27" customFormat="false" ht="15" hidden="false" customHeight="true" outlineLevel="0" collapsed="false">
      <c r="A27" s="25" t="s">
        <v>291</v>
      </c>
      <c r="B27" s="34" t="n">
        <f aca="false">IFERROR(AVERAGE('VOC Collection'!$AF$5:$AF$54),0)</f>
        <v>4.22</v>
      </c>
    </row>
    <row r="28" customFormat="false" ht="15" hidden="false" customHeight="true" outlineLevel="0" collapsed="false">
      <c r="A28" s="25" t="s">
        <v>292</v>
      </c>
      <c r="B28" s="26" t="n">
        <f aca="false">COUNTIF('VOC Collection'!$AF$5:$AF$54,"&gt;=4")</f>
        <v>41</v>
      </c>
      <c r="E28" s="23" t="s">
        <v>293</v>
      </c>
      <c r="F28" s="24"/>
      <c r="G28" s="24"/>
    </row>
    <row r="29" customFormat="false" ht="15" hidden="false" customHeight="true" outlineLevel="0" collapsed="false">
      <c r="A29" s="25" t="s">
        <v>294</v>
      </c>
      <c r="B29" s="26" t="n">
        <f aca="false">COUNTIF('VOC Collection'!$AG$5:$AG$54,"Yes")</f>
        <v>32</v>
      </c>
      <c r="E29" s="27" t="s">
        <v>295</v>
      </c>
      <c r="F29" s="27" t="s">
        <v>296</v>
      </c>
    </row>
    <row r="30" customFormat="false" ht="15" hidden="false" customHeight="true" outlineLevel="0" collapsed="false">
      <c r="A30" s="25" t="s">
        <v>297</v>
      </c>
      <c r="B30" s="26" t="n">
        <f aca="false">COUNTIF('VOC Collection'!$AG$5:$AG$54,"Maybe")</f>
        <v>15</v>
      </c>
      <c r="E30" s="25" t="s">
        <v>60</v>
      </c>
      <c r="F30" s="35" t="n">
        <f aca="false">COUNTIF('VOC Collection'!$AD$5:$AD$54,E30)</f>
        <v>17</v>
      </c>
    </row>
    <row r="31" customFormat="false" ht="21.75" hidden="false" customHeight="true" outlineLevel="0" collapsed="false">
      <c r="A31" s="25" t="s">
        <v>298</v>
      </c>
      <c r="B31" s="26" t="n">
        <f aca="false">COUNTIF('VOC Collection'!$AH$5:$AH$54,"Yes")</f>
        <v>23</v>
      </c>
      <c r="E31" s="25" t="s">
        <v>146</v>
      </c>
      <c r="F31" s="35" t="n">
        <f aca="false">COUNTIF('VOC Collection'!$AD$5:$AD$54,E31)</f>
        <v>4</v>
      </c>
    </row>
    <row r="32" customFormat="false" ht="15" hidden="false" customHeight="true" outlineLevel="0" collapsed="false">
      <c r="A32" s="36" t="s">
        <v>299</v>
      </c>
      <c r="E32" s="25" t="s">
        <v>82</v>
      </c>
      <c r="F32" s="35" t="n">
        <f aca="false">COUNTIF('VOC Collection'!$AD$5:$AD$54,E32)</f>
        <v>10</v>
      </c>
    </row>
    <row r="33" customFormat="false" ht="15" hidden="false" customHeight="true" outlineLevel="0" collapsed="false">
      <c r="E33" s="25" t="s">
        <v>165</v>
      </c>
      <c r="F33" s="35" t="n">
        <f aca="false">COUNTIF('VOC Collection'!$AD$5:$AD$54,E33)</f>
        <v>2</v>
      </c>
    </row>
    <row r="34" customFormat="false" ht="15" hidden="false" customHeight="true" outlineLevel="0" collapsed="false">
      <c r="E34" s="25" t="s">
        <v>89</v>
      </c>
      <c r="F34" s="35" t="n">
        <f aca="false">COUNTIF('VOC Collection'!$AD$5:$AD$54,E34)</f>
        <v>9</v>
      </c>
    </row>
    <row r="35" customFormat="false" ht="15" hidden="false" customHeight="true" outlineLevel="0" collapsed="false">
      <c r="E35" s="25" t="s">
        <v>300</v>
      </c>
      <c r="F35" s="35" t="n">
        <f aca="false">COUNTIF('VOC Collection'!$AD$5:$AD$54,E35)</f>
        <v>0</v>
      </c>
    </row>
    <row r="36" customFormat="false" ht="15" hidden="false" customHeight="true" outlineLevel="0" collapsed="false">
      <c r="E36" s="25" t="s">
        <v>110</v>
      </c>
      <c r="F36" s="35" t="n">
        <f aca="false">COUNTIF('VOC Collection'!$AD$5:$AD$54,E36)</f>
        <v>1</v>
      </c>
    </row>
    <row r="37" customFormat="false" ht="15" hidden="false" customHeight="true" outlineLevel="0" collapsed="false">
      <c r="E37" s="25" t="s">
        <v>301</v>
      </c>
      <c r="F37" s="35" t="n">
        <f aca="false">COUNTIF('VOC Collection'!$AD$5:$AD$54,E37)</f>
        <v>0</v>
      </c>
    </row>
    <row r="38" customFormat="false" ht="15" hidden="false" customHeight="true" outlineLevel="0" collapsed="false">
      <c r="E38" s="25" t="s">
        <v>302</v>
      </c>
      <c r="F38" s="35" t="n">
        <f aca="false">COUNTIF('VOC Collection'!$AD$5:$AD$54,E38)</f>
        <v>0</v>
      </c>
    </row>
    <row r="39" customFormat="false" ht="15" hidden="false" customHeight="true" outlineLevel="0" collapsed="false">
      <c r="E39" s="25" t="s">
        <v>121</v>
      </c>
      <c r="F39" s="35" t="n">
        <f aca="false">COUNTIF('VOC Collection'!$AD$5:$AD$54,E39)</f>
        <v>6</v>
      </c>
    </row>
    <row r="40" customFormat="false" ht="15" hidden="false" customHeight="true" outlineLevel="0" collapsed="false">
      <c r="E40" s="25" t="s">
        <v>129</v>
      </c>
      <c r="F40" s="35" t="n">
        <f aca="false">COUNTIF('VOC Collection'!$AD$5:$AD$54,E40)</f>
        <v>1</v>
      </c>
    </row>
    <row r="42" customFormat="false" ht="15" hidden="false" customHeight="true" outlineLevel="0" collapsed="false">
      <c r="E42" s="23" t="s">
        <v>303</v>
      </c>
      <c r="F42" s="24"/>
      <c r="G42" s="24"/>
    </row>
    <row r="43" customFormat="false" ht="15" hidden="false" customHeight="true" outlineLevel="0" collapsed="false">
      <c r="E43" s="28" t="s">
        <v>57</v>
      </c>
      <c r="F43" s="35" t="n">
        <f aca="false">COUNTIF('VOC Collection'!$G$5:$G$54,E43)</f>
        <v>33</v>
      </c>
    </row>
    <row r="44" customFormat="false" ht="15" hidden="false" customHeight="true" outlineLevel="0" collapsed="false">
      <c r="E44" s="28" t="s">
        <v>74</v>
      </c>
      <c r="F44" s="35" t="n">
        <f aca="false">COUNTIF('VOC Collection'!$G$5:$G$54,E44)</f>
        <v>15</v>
      </c>
    </row>
    <row r="45" customFormat="false" ht="15" hidden="false" customHeight="true" outlineLevel="0" collapsed="false">
      <c r="E45" s="28" t="s">
        <v>266</v>
      </c>
      <c r="F45" s="35" t="n">
        <f aca="false">COUNTIF('VOC Collection'!$G$5:$G$54,E45)</f>
        <v>0</v>
      </c>
    </row>
    <row r="46" customFormat="false" ht="15" hidden="false" customHeight="true" outlineLevel="0" collapsed="false">
      <c r="E46" s="28" t="s">
        <v>268</v>
      </c>
      <c r="F46" s="35" t="n">
        <f aca="false">COUNTIF('VOC Collection'!$G$5:$G$54,E46)</f>
        <v>0</v>
      </c>
    </row>
    <row r="47" customFormat="false" ht="15" hidden="false" customHeight="true" outlineLevel="0" collapsed="false">
      <c r="E47" s="28" t="s">
        <v>270</v>
      </c>
      <c r="F47" s="35" t="n">
        <f aca="false">COUNTIF('VOC Collection'!$G$5:$G$54,E47)</f>
        <v>0</v>
      </c>
    </row>
    <row r="48" customFormat="false" ht="15" hidden="false" customHeight="true" outlineLevel="0" collapsed="false">
      <c r="E48" s="28" t="s">
        <v>271</v>
      </c>
      <c r="F48" s="35" t="n">
        <f aca="false">COUNTIF('VOC Collection'!$G$5:$G$54,E48)</f>
        <v>0</v>
      </c>
    </row>
    <row r="49" customFormat="false" ht="15" hidden="false" customHeight="true" outlineLevel="0" collapsed="false">
      <c r="E49" s="28" t="s">
        <v>273</v>
      </c>
      <c r="F49" s="35" t="n">
        <f aca="false">COUNTIF('VOC Collection'!$G$5:$G$54,E49)</f>
        <v>0</v>
      </c>
    </row>
    <row r="51" customFormat="false" ht="15" hidden="false" customHeight="true" outlineLevel="0" collapsed="false">
      <c r="E51" s="23" t="s">
        <v>304</v>
      </c>
      <c r="F51" s="24"/>
      <c r="G51" s="24"/>
    </row>
    <row r="52" customFormat="false" ht="15" hidden="false" customHeight="true" outlineLevel="0" collapsed="false">
      <c r="E52" s="28" t="s">
        <v>55</v>
      </c>
      <c r="F52" s="35" t="n">
        <f aca="false">COUNTIF('VOC Collection'!$E$5:$E$54,E52)</f>
        <v>10</v>
      </c>
    </row>
    <row r="53" customFormat="false" ht="15" hidden="false" customHeight="true" outlineLevel="0" collapsed="false">
      <c r="E53" s="28" t="s">
        <v>72</v>
      </c>
      <c r="F53" s="35" t="n">
        <f aca="false">COUNTIF('VOC Collection'!$E$5:$E$54,E53)</f>
        <v>5</v>
      </c>
    </row>
    <row r="54" customFormat="false" ht="15" hidden="false" customHeight="true" outlineLevel="0" collapsed="false">
      <c r="E54" s="28" t="s">
        <v>104</v>
      </c>
      <c r="F54" s="35" t="n">
        <f aca="false">COUNTIF('VOC Collection'!$E$5:$E$54,E54)</f>
        <v>5</v>
      </c>
    </row>
    <row r="55" customFormat="false" ht="15" hidden="false" customHeight="true" outlineLevel="0" collapsed="false">
      <c r="E55" s="28" t="s">
        <v>95</v>
      </c>
      <c r="F55" s="35" t="n">
        <f aca="false">COUNTIF('VOC Collection'!$E$5:$E$54,E55)</f>
        <v>5</v>
      </c>
    </row>
    <row r="56" customFormat="false" ht="15" hidden="false" customHeight="true" outlineLevel="0" collapsed="false">
      <c r="E56" s="28" t="s">
        <v>135</v>
      </c>
      <c r="F56" s="35" t="n">
        <f aca="false">COUNTIF('VOC Collection'!$E$5:$E$54,E56)</f>
        <v>4</v>
      </c>
    </row>
    <row r="57" customFormat="false" ht="15" hidden="false" customHeight="true" outlineLevel="0" collapsed="false">
      <c r="E57" s="28" t="s">
        <v>113</v>
      </c>
      <c r="F57" s="35" t="n">
        <f aca="false">COUNTIF('VOC Collection'!$E$5:$E$54,E57)</f>
        <v>4</v>
      </c>
    </row>
    <row r="58" customFormat="false" ht="15" hidden="false" customHeight="true" outlineLevel="0" collapsed="false">
      <c r="E58" s="28" t="s">
        <v>86</v>
      </c>
      <c r="F58" s="35" t="n">
        <f aca="false">COUNTIF('VOC Collection'!$E$5:$E$54,E58)</f>
        <v>10</v>
      </c>
    </row>
    <row r="59" customFormat="false" ht="15" hidden="false" customHeight="true" outlineLevel="0" collapsed="false">
      <c r="E59" s="28" t="s">
        <v>132</v>
      </c>
      <c r="F59" s="35" t="n">
        <f aca="false">COUNTIF('VOC Collection'!$E$5:$E$54,E59)</f>
        <v>4</v>
      </c>
    </row>
    <row r="60" customFormat="false" ht="15" hidden="false" customHeight="true" outlineLevel="0" collapsed="false">
      <c r="E60" s="28" t="s">
        <v>142</v>
      </c>
      <c r="F60" s="35" t="n">
        <f aca="false">COUNTIF('VOC Collection'!$E$5:$E$54,E60)</f>
        <v>3</v>
      </c>
    </row>
    <row r="61" customFormat="false" ht="15" hidden="false" customHeight="true" outlineLevel="0" collapsed="false">
      <c r="E61" s="28" t="s">
        <v>305</v>
      </c>
      <c r="F61" s="35" t="n">
        <f aca="false">COUNTIF('VOC Collection'!$E$5:$E$54,E61)</f>
        <v>0</v>
      </c>
    </row>
    <row r="62" customFormat="false" ht="15" hidden="false" customHeight="true" outlineLevel="0" collapsed="false">
      <c r="E62" s="28" t="s">
        <v>129</v>
      </c>
      <c r="F62" s="35" t="n">
        <f aca="false">COUNTIF('VOC Collection'!$E$5:$E$54,E62)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false"/>
  </sheetPr>
  <dimension ref="A1:F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4" min="2" style="1" width="17"/>
    <col collapsed="false" customWidth="true" hidden="false" outlineLevel="0" max="5" min="5" style="1" width="4"/>
    <col collapsed="false" customWidth="true" hidden="false" outlineLevel="0" max="6" min="6" style="1" width="60"/>
  </cols>
  <sheetData>
    <row r="1" customFormat="false" ht="19.5" hidden="false" customHeight="true" outlineLevel="0" collapsed="false">
      <c r="A1" s="21" t="s">
        <v>306</v>
      </c>
    </row>
    <row r="2" customFormat="false" ht="15" hidden="false" customHeight="true" outlineLevel="0" collapsed="false">
      <c r="A2" s="22" t="s">
        <v>307</v>
      </c>
    </row>
    <row r="4" customFormat="false" ht="15" hidden="false" customHeight="true" outlineLevel="0" collapsed="false">
      <c r="A4" s="23" t="s">
        <v>308</v>
      </c>
      <c r="B4" s="37"/>
      <c r="C4" s="37"/>
      <c r="D4" s="37"/>
      <c r="F4" s="38" t="s">
        <v>309</v>
      </c>
    </row>
    <row r="5" customFormat="false" ht="18.75" hidden="false" customHeight="true" outlineLevel="0" collapsed="false">
      <c r="A5" s="25" t="s">
        <v>310</v>
      </c>
      <c r="B5" s="39" t="n">
        <v>15700000</v>
      </c>
      <c r="F5" s="40" t="s">
        <v>311</v>
      </c>
    </row>
    <row r="6" customFormat="false" ht="21.75" hidden="false" customHeight="true" outlineLevel="0" collapsed="false">
      <c r="A6" s="25" t="s">
        <v>312</v>
      </c>
      <c r="B6" s="41" t="n">
        <v>0.45</v>
      </c>
      <c r="F6" s="40" t="s">
        <v>313</v>
      </c>
    </row>
    <row r="7" customFormat="false" ht="15" hidden="false" customHeight="true" outlineLevel="0" collapsed="false">
      <c r="A7" s="25" t="s">
        <v>314</v>
      </c>
      <c r="B7" s="42" t="n">
        <f aca="false">B5*B6</f>
        <v>7065000</v>
      </c>
    </row>
    <row r="8" customFormat="false" ht="18.75" hidden="false" customHeight="true" outlineLevel="0" collapsed="false">
      <c r="A8" s="25" t="s">
        <v>315</v>
      </c>
      <c r="B8" s="41" t="n">
        <v>0.6</v>
      </c>
      <c r="F8" s="40" t="s">
        <v>316</v>
      </c>
    </row>
    <row r="9" customFormat="false" ht="15" hidden="false" customHeight="true" outlineLevel="0" collapsed="false">
      <c r="A9" s="43" t="s">
        <v>317</v>
      </c>
      <c r="B9" s="44" t="n">
        <f aca="false">B7*B8</f>
        <v>4239000</v>
      </c>
    </row>
    <row r="10" customFormat="false" ht="18.75" hidden="false" customHeight="true" outlineLevel="0" collapsed="false">
      <c r="A10" s="25" t="s">
        <v>318</v>
      </c>
      <c r="B10" s="45" t="n">
        <v>60000</v>
      </c>
      <c r="F10" s="40" t="s">
        <v>319</v>
      </c>
    </row>
    <row r="11" customFormat="false" ht="15" hidden="false" customHeight="true" outlineLevel="0" collapsed="false">
      <c r="A11" s="43" t="s">
        <v>320</v>
      </c>
      <c r="B11" s="46" t="n">
        <f aca="false">B9*B10/10000000</f>
        <v>25434</v>
      </c>
    </row>
    <row r="12" customFormat="false" ht="15" hidden="false" customHeight="true" outlineLevel="0" collapsed="false">
      <c r="A12" s="43" t="s">
        <v>321</v>
      </c>
      <c r="B12" s="47" t="n">
        <f aca="false">B11*12/100000</f>
        <v>3.05208</v>
      </c>
    </row>
    <row r="13" customFormat="false" ht="18.75" hidden="false" customHeight="true" outlineLevel="0" collapsed="false">
      <c r="A13" s="25" t="s">
        <v>322</v>
      </c>
      <c r="B13" s="41" t="n">
        <v>0.08</v>
      </c>
      <c r="F13" s="40" t="s">
        <v>323</v>
      </c>
    </row>
    <row r="14" customFormat="false" ht="15" hidden="false" customHeight="true" outlineLevel="0" collapsed="false">
      <c r="A14" s="25" t="s">
        <v>324</v>
      </c>
      <c r="B14" s="48" t="n">
        <f aca="false">B11*B13</f>
        <v>2034.72</v>
      </c>
    </row>
    <row r="15" customFormat="false" ht="15" hidden="false" customHeight="true" outlineLevel="0" collapsed="false">
      <c r="A15" s="25" t="s">
        <v>325</v>
      </c>
      <c r="B15" s="49" t="n">
        <v>29.82</v>
      </c>
      <c r="F15" s="40" t="s">
        <v>326</v>
      </c>
    </row>
    <row r="16" customFormat="false" ht="15" hidden="false" customHeight="true" outlineLevel="0" collapsed="false">
      <c r="A16" s="25" t="s">
        <v>327</v>
      </c>
      <c r="B16" s="50" t="n">
        <f aca="false">B11/(B15*100000)</f>
        <v>0.00852917505030181</v>
      </c>
    </row>
    <row r="18" customFormat="false" ht="15" hidden="false" customHeight="true" outlineLevel="0" collapsed="false">
      <c r="A18" s="23" t="s">
        <v>328</v>
      </c>
      <c r="B18" s="37" t="s">
        <v>329</v>
      </c>
      <c r="C18" s="37" t="s">
        <v>330</v>
      </c>
      <c r="D18" s="37" t="s">
        <v>331</v>
      </c>
    </row>
    <row r="19" customFormat="false" ht="18.75" hidden="false" customHeight="true" outlineLevel="0" collapsed="false">
      <c r="A19" s="25" t="s">
        <v>332</v>
      </c>
      <c r="B19" s="41" t="n">
        <v>0.15</v>
      </c>
      <c r="C19" s="41" t="n">
        <v>0.3</v>
      </c>
      <c r="D19" s="41" t="n">
        <v>0.45</v>
      </c>
      <c r="F19" s="40" t="s">
        <v>333</v>
      </c>
    </row>
    <row r="20" customFormat="false" ht="15" hidden="false" customHeight="true" outlineLevel="0" collapsed="false">
      <c r="A20" s="43" t="s">
        <v>334</v>
      </c>
      <c r="B20" s="44" t="n">
        <f aca="false">$B$9*B19</f>
        <v>635850</v>
      </c>
      <c r="C20" s="44" t="n">
        <f aca="false">$B$9*C19</f>
        <v>1271700</v>
      </c>
      <c r="D20" s="44" t="n">
        <f aca="false">$B$9*D19</f>
        <v>1907550</v>
      </c>
    </row>
    <row r="21" customFormat="false" ht="18.75" hidden="false" customHeight="true" outlineLevel="0" collapsed="false">
      <c r="A21" s="25" t="s">
        <v>335</v>
      </c>
      <c r="B21" s="41" t="n">
        <v>0.55</v>
      </c>
      <c r="C21" s="41" t="n">
        <v>0.65</v>
      </c>
      <c r="D21" s="41" t="n">
        <v>0.75</v>
      </c>
      <c r="F21" s="40" t="s">
        <v>336</v>
      </c>
    </row>
    <row r="22" customFormat="false" ht="15" hidden="false" customHeight="true" outlineLevel="0" collapsed="false">
      <c r="A22" s="25" t="s">
        <v>337</v>
      </c>
      <c r="B22" s="51" t="n">
        <f aca="false">B21-$B$13</f>
        <v>0.47</v>
      </c>
      <c r="C22" s="51" t="n">
        <f aca="false">C21-$B$13</f>
        <v>0.57</v>
      </c>
      <c r="D22" s="51" t="n">
        <f aca="false">D21-$B$13</f>
        <v>0.67</v>
      </c>
    </row>
    <row r="23" customFormat="false" ht="15" hidden="false" customHeight="true" outlineLevel="0" collapsed="false">
      <c r="A23" s="43" t="s">
        <v>338</v>
      </c>
      <c r="B23" s="52" t="n">
        <f aca="false">B20*$B$10*B22/10000000</f>
        <v>1793.097</v>
      </c>
      <c r="C23" s="52" t="n">
        <f aca="false">C20*$B$10*C22/10000000</f>
        <v>4349.214</v>
      </c>
      <c r="D23" s="52" t="n">
        <f aca="false">D20*$B$10*D22/10000000</f>
        <v>7668.351</v>
      </c>
    </row>
    <row r="24" customFormat="false" ht="15" hidden="false" customHeight="true" outlineLevel="0" collapsed="false">
      <c r="A24" s="43" t="s">
        <v>339</v>
      </c>
      <c r="B24" s="52" t="n">
        <f aca="false">B23*12</f>
        <v>21517.164</v>
      </c>
      <c r="C24" s="52" t="n">
        <f aca="false">C23*12</f>
        <v>52190.568</v>
      </c>
      <c r="D24" s="52" t="n">
        <f aca="false">D23*12</f>
        <v>92020.212</v>
      </c>
    </row>
    <row r="25" customFormat="false" ht="15" hidden="false" customHeight="true" outlineLevel="0" collapsed="false">
      <c r="A25" s="25" t="s">
        <v>340</v>
      </c>
      <c r="B25" s="50" t="n">
        <f aca="false">B23/($B$15*100000)</f>
        <v>0.000601306841046278</v>
      </c>
      <c r="C25" s="50" t="n">
        <f aca="false">C23/($B$15*100000)</f>
        <v>0.00145848893360161</v>
      </c>
      <c r="D25" s="50" t="n">
        <f aca="false">D23/($B$15*100000)</f>
        <v>0.002571546277666</v>
      </c>
    </row>
    <row r="26" customFormat="false" ht="18.75" hidden="false" customHeight="true" outlineLevel="0" collapsed="false">
      <c r="A26" s="25" t="s">
        <v>341</v>
      </c>
      <c r="B26" s="53" t="n">
        <v>10</v>
      </c>
      <c r="C26" s="53" t="n">
        <v>10</v>
      </c>
      <c r="D26" s="53" t="n">
        <v>10</v>
      </c>
      <c r="F26" s="40" t="s">
        <v>342</v>
      </c>
    </row>
    <row r="27" customFormat="false" ht="15" hidden="false" customHeight="true" outlineLevel="0" collapsed="false">
      <c r="A27" s="25" t="s">
        <v>343</v>
      </c>
      <c r="B27" s="54" t="n">
        <f aca="false">B26*B21</f>
        <v>5.5</v>
      </c>
      <c r="C27" s="54" t="n">
        <f aca="false">C26*C21</f>
        <v>6.5</v>
      </c>
      <c r="D27" s="54" t="n">
        <f aca="false">D26*D21</f>
        <v>7.5</v>
      </c>
      <c r="F27" s="40" t="s">
        <v>344</v>
      </c>
    </row>
    <row r="28" customFormat="false" ht="15" hidden="false" customHeight="true" outlineLevel="0" collapsed="false">
      <c r="A28" s="25" t="s">
        <v>345</v>
      </c>
      <c r="B28" s="55" t="n">
        <f aca="false">B20*B26*B22/100000</f>
        <v>29.88495</v>
      </c>
      <c r="C28" s="55" t="n">
        <f aca="false">C20*C26*C22/100000</f>
        <v>72.4869</v>
      </c>
      <c r="D28" s="55" t="n">
        <f aca="false">D20*D26*D22/100000</f>
        <v>127.80585</v>
      </c>
    </row>
    <row r="30" customFormat="false" ht="15" hidden="false" customHeight="true" outlineLevel="0" collapsed="false">
      <c r="A30" s="23" t="s">
        <v>346</v>
      </c>
      <c r="B30" s="37" t="s">
        <v>329</v>
      </c>
      <c r="C30" s="37" t="s">
        <v>330</v>
      </c>
      <c r="D30" s="37" t="s">
        <v>331</v>
      </c>
    </row>
    <row r="31" customFormat="false" ht="18.75" hidden="false" customHeight="true" outlineLevel="0" collapsed="false">
      <c r="A31" s="25" t="s">
        <v>347</v>
      </c>
      <c r="B31" s="41" t="n">
        <v>0.7</v>
      </c>
      <c r="F31" s="40" t="s">
        <v>348</v>
      </c>
    </row>
    <row r="32" customFormat="false" ht="18.75" hidden="false" customHeight="true" outlineLevel="0" collapsed="false">
      <c r="A32" s="25" t="s">
        <v>349</v>
      </c>
      <c r="B32" s="56" t="n">
        <v>0.0008</v>
      </c>
      <c r="F32" s="40" t="s">
        <v>350</v>
      </c>
    </row>
    <row r="33" customFormat="false" ht="15" hidden="false" customHeight="true" outlineLevel="0" collapsed="false">
      <c r="A33" s="25" t="s">
        <v>351</v>
      </c>
      <c r="B33" s="57" t="n">
        <f aca="false">B24*$B$31*$B$32</f>
        <v>12.04961184</v>
      </c>
      <c r="C33" s="57" t="n">
        <f aca="false">C24*$B$31*$B$32</f>
        <v>29.22671808</v>
      </c>
      <c r="D33" s="57" t="n">
        <f aca="false">D24*$B$31*$B$32</f>
        <v>51.53131872</v>
      </c>
    </row>
    <row r="34" customFormat="false" ht="18.75" hidden="false" customHeight="true" outlineLevel="0" collapsed="false">
      <c r="A34" s="25" t="s">
        <v>352</v>
      </c>
      <c r="B34" s="41" t="n">
        <v>0.1</v>
      </c>
      <c r="C34" s="41" t="n">
        <v>0.15</v>
      </c>
      <c r="D34" s="41" t="n">
        <v>0.2</v>
      </c>
      <c r="F34" s="40" t="s">
        <v>353</v>
      </c>
    </row>
    <row r="35" customFormat="false" ht="15" hidden="false" customHeight="true" outlineLevel="0" collapsed="false">
      <c r="A35" s="25" t="s">
        <v>354</v>
      </c>
      <c r="B35" s="45" t="n">
        <v>20000</v>
      </c>
      <c r="F35" s="40" t="s">
        <v>355</v>
      </c>
    </row>
    <row r="36" customFormat="false" ht="15" hidden="false" customHeight="true" outlineLevel="0" collapsed="false">
      <c r="A36" s="25" t="s">
        <v>356</v>
      </c>
      <c r="B36" s="58" t="n">
        <f aca="false">B20*B34*$B$35*12/10000000</f>
        <v>1526.04</v>
      </c>
      <c r="C36" s="58" t="n">
        <f aca="false">C20*C34*$B$35*12/10000000</f>
        <v>4578.12</v>
      </c>
      <c r="D36" s="58" t="n">
        <f aca="false">D20*D34*$B$35*12/10000000</f>
        <v>9156.24</v>
      </c>
    </row>
    <row r="37" customFormat="false" ht="15" hidden="false" customHeight="true" outlineLevel="0" collapsed="false">
      <c r="A37" s="25" t="s">
        <v>357</v>
      </c>
      <c r="B37" s="59" t="n">
        <v>0.015</v>
      </c>
      <c r="F37" s="40" t="s">
        <v>358</v>
      </c>
    </row>
    <row r="38" customFormat="false" ht="15" hidden="false" customHeight="true" outlineLevel="0" collapsed="false">
      <c r="A38" s="25" t="s">
        <v>359</v>
      </c>
      <c r="B38" s="57" t="n">
        <f aca="false">B36*$B$37</f>
        <v>22.8906</v>
      </c>
      <c r="C38" s="57" t="n">
        <f aca="false">C36*$B$37</f>
        <v>68.6718</v>
      </c>
      <c r="D38" s="57" t="n">
        <f aca="false">D36*$B$37</f>
        <v>137.3436</v>
      </c>
    </row>
    <row r="39" customFormat="false" ht="15" hidden="false" customHeight="true" outlineLevel="0" collapsed="false">
      <c r="A39" s="43" t="s">
        <v>360</v>
      </c>
      <c r="B39" s="60" t="n">
        <f aca="false">B33+B38</f>
        <v>34.94021184</v>
      </c>
      <c r="C39" s="60" t="n">
        <f aca="false">C33+C38</f>
        <v>97.89851808</v>
      </c>
      <c r="D39" s="60" t="n">
        <f aca="false">D33+D38</f>
        <v>188.87491872</v>
      </c>
      <c r="F39" s="40" t="s">
        <v>361</v>
      </c>
    </row>
    <row r="41" customFormat="false" ht="15" hidden="false" customHeight="true" outlineLevel="0" collapsed="false">
      <c r="A41" s="23" t="s">
        <v>362</v>
      </c>
      <c r="B41" s="37"/>
      <c r="C41" s="37"/>
      <c r="D41" s="37"/>
    </row>
    <row r="42" customFormat="false" ht="18.75" hidden="false" customHeight="true" outlineLevel="0" collapsed="false">
      <c r="A42" s="25" t="s">
        <v>363</v>
      </c>
      <c r="B42" s="53" t="n">
        <v>10</v>
      </c>
      <c r="F42" s="40" t="s">
        <v>364</v>
      </c>
    </row>
    <row r="43" customFormat="false" ht="15" hidden="false" customHeight="true" outlineLevel="0" collapsed="false">
      <c r="A43" s="25" t="s">
        <v>365</v>
      </c>
      <c r="B43" s="53" t="n">
        <v>250</v>
      </c>
      <c r="F43" s="40" t="s">
        <v>366</v>
      </c>
    </row>
    <row r="44" customFormat="false" ht="15" hidden="false" customHeight="true" outlineLevel="0" collapsed="false">
      <c r="A44" s="25" t="s">
        <v>367</v>
      </c>
      <c r="B44" s="42" t="n">
        <f aca="false">B42*B43</f>
        <v>2500</v>
      </c>
    </row>
    <row r="45" customFormat="false" ht="15" hidden="false" customHeight="true" outlineLevel="0" collapsed="false">
      <c r="A45" s="25" t="s">
        <v>368</v>
      </c>
      <c r="B45" s="41" t="n">
        <v>0.4</v>
      </c>
      <c r="F45" s="40" t="s">
        <v>369</v>
      </c>
    </row>
    <row r="46" customFormat="false" ht="15" hidden="false" customHeight="true" outlineLevel="0" collapsed="false">
      <c r="A46" s="43" t="s">
        <v>370</v>
      </c>
      <c r="B46" s="44" t="n">
        <f aca="false">B44*B45</f>
        <v>1000</v>
      </c>
    </row>
    <row r="47" customFormat="false" ht="15" hidden="false" customHeight="true" outlineLevel="0" collapsed="false">
      <c r="A47" s="25" t="s">
        <v>371</v>
      </c>
      <c r="B47" s="61" t="n">
        <f aca="false">B46*B10*B22/10000000</f>
        <v>2.82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70"/>
    <col collapsed="false" customWidth="true" hidden="false" outlineLevel="0" max="3" min="3" style="1" width="62"/>
  </cols>
  <sheetData>
    <row r="1" customFormat="false" ht="19.5" hidden="false" customHeight="true" outlineLevel="0" collapsed="false">
      <c r="A1" s="21" t="s">
        <v>372</v>
      </c>
    </row>
    <row r="2" customFormat="false" ht="15" hidden="false" customHeight="true" outlineLevel="0" collapsed="false">
      <c r="A2" s="22" t="s">
        <v>373</v>
      </c>
    </row>
    <row r="4" customFormat="false" ht="15" hidden="false" customHeight="true" outlineLevel="0" collapsed="false">
      <c r="A4" s="62" t="s">
        <v>374</v>
      </c>
      <c r="B4" s="24"/>
      <c r="C4" s="24"/>
    </row>
    <row r="5" customFormat="false" ht="27.75" hidden="false" customHeight="true" outlineLevel="0" collapsed="false">
      <c r="B5" s="63" t="s">
        <v>375</v>
      </c>
      <c r="C5" s="63"/>
    </row>
    <row r="6" customFormat="false" ht="27.75" hidden="false" customHeight="true" outlineLevel="0" collapsed="false">
      <c r="B6" s="63" t="s">
        <v>376</v>
      </c>
      <c r="C6" s="63"/>
    </row>
    <row r="7" customFormat="false" ht="27.75" hidden="false" customHeight="true" outlineLevel="0" collapsed="false">
      <c r="B7" s="63" t="s">
        <v>377</v>
      </c>
      <c r="C7" s="63"/>
    </row>
    <row r="8" customFormat="false" ht="27.75" hidden="false" customHeight="true" outlineLevel="0" collapsed="false">
      <c r="B8" s="63" t="s">
        <v>378</v>
      </c>
      <c r="C8" s="63"/>
    </row>
    <row r="10" customFormat="false" ht="15" hidden="false" customHeight="true" outlineLevel="0" collapsed="false">
      <c r="A10" s="62" t="s">
        <v>379</v>
      </c>
      <c r="B10" s="24"/>
      <c r="C10" s="24"/>
    </row>
    <row r="11" customFormat="false" ht="27.75" hidden="false" customHeight="true" outlineLevel="0" collapsed="false">
      <c r="A11" s="64" t="s">
        <v>380</v>
      </c>
      <c r="B11" s="63" t="s">
        <v>381</v>
      </c>
      <c r="C11" s="63"/>
    </row>
    <row r="12" customFormat="false" ht="27.75" hidden="false" customHeight="true" outlineLevel="0" collapsed="false">
      <c r="A12" s="64" t="s">
        <v>382</v>
      </c>
      <c r="B12" s="63" t="s">
        <v>383</v>
      </c>
      <c r="C12" s="63"/>
    </row>
    <row r="13" customFormat="false" ht="27.75" hidden="false" customHeight="true" outlineLevel="0" collapsed="false">
      <c r="A13" s="64" t="s">
        <v>384</v>
      </c>
      <c r="B13" s="63" t="s">
        <v>385</v>
      </c>
      <c r="C13" s="63"/>
    </row>
    <row r="14" customFormat="false" ht="27.75" hidden="false" customHeight="true" outlineLevel="0" collapsed="false">
      <c r="A14" s="64" t="s">
        <v>386</v>
      </c>
      <c r="B14" s="63" t="s">
        <v>387</v>
      </c>
      <c r="C14" s="63"/>
    </row>
    <row r="15" customFormat="false" ht="27.75" hidden="false" customHeight="true" outlineLevel="0" collapsed="false">
      <c r="A15" s="64" t="s">
        <v>388</v>
      </c>
      <c r="B15" s="63" t="s">
        <v>389</v>
      </c>
      <c r="C15" s="63"/>
    </row>
    <row r="16" customFormat="false" ht="27.75" hidden="false" customHeight="true" outlineLevel="0" collapsed="false">
      <c r="A16" s="64" t="s">
        <v>390</v>
      </c>
      <c r="B16" s="63" t="s">
        <v>391</v>
      </c>
      <c r="C16" s="63"/>
    </row>
    <row r="17" customFormat="false" ht="27.75" hidden="false" customHeight="true" outlineLevel="0" collapsed="false">
      <c r="A17" s="64" t="s">
        <v>392</v>
      </c>
      <c r="B17" s="63" t="s">
        <v>393</v>
      </c>
      <c r="C17" s="63"/>
    </row>
    <row r="18" customFormat="false" ht="27.75" hidden="false" customHeight="true" outlineLevel="0" collapsed="false">
      <c r="A18" s="64" t="s">
        <v>394</v>
      </c>
      <c r="B18" s="63" t="s">
        <v>395</v>
      </c>
      <c r="C18" s="63"/>
    </row>
    <row r="20" customFormat="false" ht="15" hidden="false" customHeight="true" outlineLevel="0" collapsed="false">
      <c r="A20" s="62" t="s">
        <v>396</v>
      </c>
      <c r="B20" s="24"/>
      <c r="C20" s="24"/>
    </row>
    <row r="21" customFormat="false" ht="27.75" hidden="false" customHeight="true" outlineLevel="0" collapsed="false">
      <c r="A21" s="64" t="s">
        <v>397</v>
      </c>
      <c r="B21" s="63" t="s">
        <v>398</v>
      </c>
      <c r="C21" s="63"/>
    </row>
    <row r="22" customFormat="false" ht="27.75" hidden="false" customHeight="true" outlineLevel="0" collapsed="false">
      <c r="A22" s="64" t="s">
        <v>399</v>
      </c>
      <c r="B22" s="63" t="s">
        <v>400</v>
      </c>
      <c r="C22" s="63"/>
    </row>
    <row r="23" customFormat="false" ht="27.75" hidden="false" customHeight="true" outlineLevel="0" collapsed="false">
      <c r="A23" s="64" t="s">
        <v>401</v>
      </c>
      <c r="B23" s="63" t="s">
        <v>402</v>
      </c>
      <c r="C23" s="63"/>
    </row>
    <row r="24" customFormat="false" ht="27.75" hidden="false" customHeight="true" outlineLevel="0" collapsed="false">
      <c r="A24" s="64" t="s">
        <v>403</v>
      </c>
      <c r="B24" s="63" t="s">
        <v>404</v>
      </c>
      <c r="C24" s="63"/>
    </row>
    <row r="25" customFormat="false" ht="27.75" hidden="false" customHeight="true" outlineLevel="0" collapsed="false">
      <c r="A25" s="64" t="s">
        <v>405</v>
      </c>
      <c r="B25" s="63" t="s">
        <v>406</v>
      </c>
      <c r="C25" s="63"/>
    </row>
    <row r="26" customFormat="false" ht="27.75" hidden="false" customHeight="true" outlineLevel="0" collapsed="false">
      <c r="A26" s="64" t="s">
        <v>407</v>
      </c>
      <c r="B26" s="63" t="s">
        <v>408</v>
      </c>
      <c r="C26" s="63"/>
    </row>
    <row r="28" customFormat="false" ht="15" hidden="false" customHeight="true" outlineLevel="0" collapsed="false">
      <c r="A28" s="62" t="s">
        <v>409</v>
      </c>
      <c r="B28" s="24"/>
      <c r="C28" s="24"/>
    </row>
    <row r="29" customFormat="false" ht="27.75" hidden="false" customHeight="true" outlineLevel="0" collapsed="false">
      <c r="A29" s="64" t="s">
        <v>410</v>
      </c>
      <c r="B29" s="63" t="s">
        <v>411</v>
      </c>
      <c r="C29" s="63"/>
    </row>
    <row r="30" customFormat="false" ht="27.75" hidden="false" customHeight="true" outlineLevel="0" collapsed="false">
      <c r="A30" s="64" t="s">
        <v>410</v>
      </c>
      <c r="B30" s="63" t="s">
        <v>412</v>
      </c>
      <c r="C30" s="63"/>
    </row>
    <row r="31" customFormat="false" ht="27.75" hidden="false" customHeight="true" outlineLevel="0" collapsed="false">
      <c r="A31" s="64" t="s">
        <v>410</v>
      </c>
      <c r="B31" s="63" t="s">
        <v>413</v>
      </c>
      <c r="C31" s="63"/>
    </row>
    <row r="32" customFormat="false" ht="27.75" hidden="false" customHeight="true" outlineLevel="0" collapsed="false">
      <c r="A32" s="64" t="s">
        <v>410</v>
      </c>
      <c r="B32" s="63" t="s">
        <v>414</v>
      </c>
      <c r="C32" s="63"/>
    </row>
    <row r="34" customFormat="false" ht="15" hidden="false" customHeight="true" outlineLevel="0" collapsed="false">
      <c r="A34" s="65" t="s">
        <v>415</v>
      </c>
      <c r="B34" s="66"/>
      <c r="C34" s="66"/>
    </row>
    <row r="35" customFormat="false" ht="25.5" hidden="false" customHeight="true" outlineLevel="0" collapsed="false">
      <c r="B35" s="67" t="s">
        <v>416</v>
      </c>
      <c r="C35" s="68" t="s">
        <v>417</v>
      </c>
    </row>
    <row r="36" customFormat="false" ht="25.5" hidden="false" customHeight="true" outlineLevel="0" collapsed="false">
      <c r="B36" s="67" t="s">
        <v>418</v>
      </c>
      <c r="C36" s="68" t="s">
        <v>419</v>
      </c>
    </row>
    <row r="37" customFormat="false" ht="25.5" hidden="false" customHeight="true" outlineLevel="0" collapsed="false">
      <c r="B37" s="67" t="s">
        <v>420</v>
      </c>
      <c r="C37" s="68" t="s">
        <v>421</v>
      </c>
    </row>
    <row r="38" customFormat="false" ht="25.5" hidden="false" customHeight="true" outlineLevel="0" collapsed="false">
      <c r="B38" s="67" t="s">
        <v>422</v>
      </c>
      <c r="C38" s="68" t="s">
        <v>423</v>
      </c>
    </row>
    <row r="39" customFormat="false" ht="25.5" hidden="false" customHeight="true" outlineLevel="0" collapsed="false">
      <c r="B39" s="67" t="s">
        <v>424</v>
      </c>
      <c r="C39" s="68" t="s">
        <v>425</v>
      </c>
    </row>
    <row r="40" customFormat="false" ht="25.5" hidden="false" customHeight="true" outlineLevel="0" collapsed="false">
      <c r="B40" s="67" t="s">
        <v>426</v>
      </c>
      <c r="C40" s="68" t="s">
        <v>427</v>
      </c>
    </row>
    <row r="41" customFormat="false" ht="25.5" hidden="false" customHeight="true" outlineLevel="0" collapsed="false">
      <c r="B41" s="67" t="s">
        <v>428</v>
      </c>
      <c r="C41" s="68" t="s">
        <v>429</v>
      </c>
    </row>
    <row r="42" customFormat="false" ht="25.5" hidden="false" customHeight="true" outlineLevel="0" collapsed="false">
      <c r="B42" s="67" t="s">
        <v>430</v>
      </c>
      <c r="C42" s="68" t="s">
        <v>431</v>
      </c>
    </row>
  </sheetData>
  <mergeCells count="22">
    <mergeCell ref="B5:C5"/>
    <mergeCell ref="B6:C6"/>
    <mergeCell ref="B7:C7"/>
    <mergeCell ref="B8:C8"/>
    <mergeCell ref="B11:C11"/>
    <mergeCell ref="B12:C12"/>
    <mergeCell ref="B13:C13"/>
    <mergeCell ref="B14:C14"/>
    <mergeCell ref="B15:C15"/>
    <mergeCell ref="B16:C16"/>
    <mergeCell ref="B17:C17"/>
    <mergeCell ref="B18:C18"/>
    <mergeCell ref="B21:C21"/>
    <mergeCell ref="B22:C22"/>
    <mergeCell ref="B23:C23"/>
    <mergeCell ref="B24:C24"/>
    <mergeCell ref="B25:C25"/>
    <mergeCell ref="B26:C26"/>
    <mergeCell ref="B29:C29"/>
    <mergeCell ref="B30:C30"/>
    <mergeCell ref="B31:C31"/>
    <mergeCell ref="B32:C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90"/>
  </cols>
  <sheetData>
    <row r="1" customFormat="false" ht="17.25" hidden="false" customHeight="true" outlineLevel="0" collapsed="false">
      <c r="A1" s="69" t="s">
        <v>432</v>
      </c>
    </row>
    <row r="3" customFormat="false" ht="33.75" hidden="false" customHeight="true" outlineLevel="0" collapsed="false">
      <c r="A3" s="70" t="s">
        <v>433</v>
      </c>
      <c r="B3" s="71" t="s">
        <v>434</v>
      </c>
    </row>
    <row r="4" customFormat="false" ht="33.75" hidden="false" customHeight="true" outlineLevel="0" collapsed="false">
      <c r="A4" s="70" t="s">
        <v>435</v>
      </c>
      <c r="B4" s="71" t="s">
        <v>436</v>
      </c>
    </row>
    <row r="5" customFormat="false" ht="33.75" hidden="false" customHeight="true" outlineLevel="0" collapsed="false">
      <c r="A5" s="70" t="s">
        <v>437</v>
      </c>
      <c r="B5" s="71" t="s">
        <v>438</v>
      </c>
    </row>
    <row r="6" customFormat="false" ht="33.75" hidden="false" customHeight="true" outlineLevel="0" collapsed="false">
      <c r="A6" s="70" t="s">
        <v>439</v>
      </c>
      <c r="B6" s="71" t="s">
        <v>440</v>
      </c>
    </row>
    <row r="7" customFormat="false" ht="33.75" hidden="false" customHeight="true" outlineLevel="0" collapsed="false">
      <c r="A7" s="70" t="s">
        <v>441</v>
      </c>
      <c r="B7" s="71" t="s">
        <v>442</v>
      </c>
    </row>
    <row r="8" customFormat="false" ht="33.75" hidden="false" customHeight="true" outlineLevel="0" collapsed="false">
      <c r="A8" s="70" t="s">
        <v>443</v>
      </c>
      <c r="B8" s="71" t="s">
        <v>444</v>
      </c>
    </row>
    <row r="9" customFormat="false" ht="33.75" hidden="false" customHeight="true" outlineLevel="0" collapsed="false">
      <c r="A9" s="70" t="s">
        <v>445</v>
      </c>
      <c r="B9" s="71" t="s">
        <v>446</v>
      </c>
    </row>
    <row r="10" customFormat="false" ht="33.75" hidden="false" customHeight="true" outlineLevel="0" collapsed="false">
      <c r="A10" s="70" t="s">
        <v>447</v>
      </c>
      <c r="B10" s="71" t="s">
        <v>448</v>
      </c>
    </row>
    <row r="11" customFormat="false" ht="33.75" hidden="false" customHeight="true" outlineLevel="0" collapsed="false">
      <c r="A11" s="70" t="s">
        <v>449</v>
      </c>
      <c r="B11" s="71" t="s">
        <v>450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3" min="1" style="1" width="30"/>
  </cols>
  <sheetData>
    <row r="1" customFormat="false" ht="15" hidden="false" customHeight="true" outlineLevel="0" collapsed="false">
      <c r="A1" s="64" t="s">
        <v>451</v>
      </c>
      <c r="B1" s="64" t="s">
        <v>452</v>
      </c>
      <c r="C1" s="64" t="s">
        <v>453</v>
      </c>
      <c r="D1" s="64" t="s">
        <v>454</v>
      </c>
      <c r="E1" s="64" t="s">
        <v>455</v>
      </c>
      <c r="F1" s="64" t="s">
        <v>456</v>
      </c>
      <c r="G1" s="64" t="s">
        <v>457</v>
      </c>
      <c r="H1" s="64" t="s">
        <v>458</v>
      </c>
      <c r="I1" s="64" t="s">
        <v>459</v>
      </c>
      <c r="J1" s="64" t="s">
        <v>460</v>
      </c>
      <c r="K1" s="64" t="s">
        <v>461</v>
      </c>
      <c r="L1" s="64" t="s">
        <v>462</v>
      </c>
      <c r="M1" s="64" t="s">
        <v>463</v>
      </c>
    </row>
    <row r="2" customFormat="false" ht="15" hidden="false" customHeight="true" outlineLevel="0" collapsed="false">
      <c r="A2" s="72" t="s">
        <v>62</v>
      </c>
      <c r="B2" s="72" t="s">
        <v>63</v>
      </c>
      <c r="C2" s="72" t="s">
        <v>64</v>
      </c>
      <c r="D2" s="72" t="s">
        <v>109</v>
      </c>
      <c r="E2" s="72" t="s">
        <v>66</v>
      </c>
      <c r="F2" s="72" t="s">
        <v>57</v>
      </c>
      <c r="G2" s="72" t="s">
        <v>60</v>
      </c>
      <c r="H2" s="72" t="s">
        <v>70</v>
      </c>
      <c r="I2" s="72" t="s">
        <v>70</v>
      </c>
      <c r="J2" s="72" t="s">
        <v>70</v>
      </c>
      <c r="K2" s="72" t="n">
        <v>1</v>
      </c>
      <c r="L2" s="72" t="s">
        <v>55</v>
      </c>
      <c r="M2" s="72" t="s">
        <v>57</v>
      </c>
    </row>
    <row r="3" customFormat="false" ht="15" hidden="false" customHeight="true" outlineLevel="0" collapsed="false">
      <c r="A3" s="72" t="s">
        <v>150</v>
      </c>
      <c r="B3" s="72" t="s">
        <v>464</v>
      </c>
      <c r="C3" s="72" t="s">
        <v>79</v>
      </c>
      <c r="D3" s="72" t="s">
        <v>65</v>
      </c>
      <c r="E3" s="72" t="s">
        <v>281</v>
      </c>
      <c r="F3" s="72" t="s">
        <v>74</v>
      </c>
      <c r="G3" s="72" t="s">
        <v>146</v>
      </c>
      <c r="H3" s="72" t="s">
        <v>69</v>
      </c>
      <c r="I3" s="72" t="s">
        <v>101</v>
      </c>
      <c r="J3" s="72" t="s">
        <v>69</v>
      </c>
      <c r="K3" s="72" t="n">
        <v>2</v>
      </c>
      <c r="L3" s="72" t="s">
        <v>72</v>
      </c>
      <c r="M3" s="72" t="s">
        <v>74</v>
      </c>
    </row>
    <row r="4" customFormat="false" ht="15" hidden="false" customHeight="true" outlineLevel="0" collapsed="false">
      <c r="B4" s="72" t="s">
        <v>465</v>
      </c>
      <c r="C4" s="72" t="s">
        <v>100</v>
      </c>
      <c r="D4" s="72" t="s">
        <v>128</v>
      </c>
      <c r="E4" s="72" t="s">
        <v>92</v>
      </c>
      <c r="F4" s="72" t="s">
        <v>266</v>
      </c>
      <c r="G4" s="72" t="s">
        <v>82</v>
      </c>
      <c r="I4" s="72" t="s">
        <v>69</v>
      </c>
      <c r="J4" s="72" t="s">
        <v>83</v>
      </c>
      <c r="K4" s="72" t="n">
        <v>3</v>
      </c>
      <c r="L4" s="72" t="s">
        <v>104</v>
      </c>
      <c r="M4" s="72" t="s">
        <v>266</v>
      </c>
    </row>
    <row r="5" customFormat="false" ht="15" hidden="false" customHeight="true" outlineLevel="0" collapsed="false">
      <c r="C5" s="72" t="s">
        <v>120</v>
      </c>
      <c r="D5" s="72" t="s">
        <v>91</v>
      </c>
      <c r="E5" s="72" t="s">
        <v>80</v>
      </c>
      <c r="F5" s="72" t="s">
        <v>268</v>
      </c>
      <c r="G5" s="72" t="s">
        <v>165</v>
      </c>
      <c r="K5" s="72" t="n">
        <v>4</v>
      </c>
      <c r="L5" s="72" t="s">
        <v>95</v>
      </c>
      <c r="M5" s="72" t="s">
        <v>268</v>
      </c>
    </row>
    <row r="6" customFormat="false" ht="15" hidden="false" customHeight="true" outlineLevel="0" collapsed="false">
      <c r="C6" s="72" t="s">
        <v>140</v>
      </c>
      <c r="E6" s="72" t="s">
        <v>285</v>
      </c>
      <c r="F6" s="72" t="s">
        <v>270</v>
      </c>
      <c r="G6" s="72" t="s">
        <v>89</v>
      </c>
      <c r="K6" s="72" t="n">
        <v>5</v>
      </c>
      <c r="L6" s="72" t="s">
        <v>135</v>
      </c>
      <c r="M6" s="72" t="s">
        <v>270</v>
      </c>
    </row>
    <row r="7" customFormat="false" ht="15" hidden="false" customHeight="true" outlineLevel="0" collapsed="false">
      <c r="C7" s="72" t="s">
        <v>466</v>
      </c>
      <c r="E7" s="72" t="s">
        <v>67</v>
      </c>
      <c r="F7" s="72" t="s">
        <v>271</v>
      </c>
      <c r="G7" s="72" t="s">
        <v>300</v>
      </c>
      <c r="L7" s="72" t="s">
        <v>113</v>
      </c>
      <c r="M7" s="72" t="s">
        <v>271</v>
      </c>
    </row>
    <row r="8" customFormat="false" ht="15" hidden="false" customHeight="true" outlineLevel="0" collapsed="false">
      <c r="E8" s="72" t="s">
        <v>288</v>
      </c>
      <c r="F8" s="72" t="s">
        <v>273</v>
      </c>
      <c r="G8" s="72" t="s">
        <v>110</v>
      </c>
      <c r="L8" s="72" t="s">
        <v>86</v>
      </c>
      <c r="M8" s="72" t="s">
        <v>273</v>
      </c>
    </row>
    <row r="9" customFormat="false" ht="15" hidden="false" customHeight="true" outlineLevel="0" collapsed="false">
      <c r="E9" s="72" t="s">
        <v>289</v>
      </c>
      <c r="F9" s="72" t="s">
        <v>68</v>
      </c>
      <c r="G9" s="72" t="s">
        <v>301</v>
      </c>
      <c r="L9" s="72" t="s">
        <v>132</v>
      </c>
    </row>
    <row r="10" customFormat="false" ht="15" hidden="false" customHeight="true" outlineLevel="0" collapsed="false">
      <c r="E10" s="72" t="s">
        <v>129</v>
      </c>
      <c r="F10" s="72" t="s">
        <v>81</v>
      </c>
      <c r="G10" s="72" t="s">
        <v>302</v>
      </c>
      <c r="L10" s="72" t="s">
        <v>142</v>
      </c>
    </row>
    <row r="11" customFormat="false" ht="15" hidden="false" customHeight="true" outlineLevel="0" collapsed="false">
      <c r="G11" s="72" t="s">
        <v>121</v>
      </c>
      <c r="L11" s="72" t="s">
        <v>305</v>
      </c>
    </row>
    <row r="12" customFormat="false" ht="15" hidden="false" customHeight="true" outlineLevel="0" collapsed="false">
      <c r="G12" s="72" t="s">
        <v>129</v>
      </c>
      <c r="L12" s="72"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2026-09-04T10:46:54Z</dcterms:created>
  <dc:creator>openpyxl</dc:creator>
  <dc:description/>
  <dc:language>en-US</dc:language>
  <cp:lastModifiedBy>Ashish Sahay</cp:lastModifiedBy>
  <dcterms:modified xsi:type="dcterms:W3CDTF">2026-09-24T23:00:58Z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